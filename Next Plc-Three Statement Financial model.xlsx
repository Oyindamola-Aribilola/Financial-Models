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0316d2243f45c1/Desktop/"/>
    </mc:Choice>
  </mc:AlternateContent>
  <xr:revisionPtr revIDLastSave="1189" documentId="14_{041815F9-8712-4039-80DC-A7C457710C7F}" xr6:coauthVersionLast="47" xr6:coauthVersionMax="47" xr10:uidLastSave="{C76DBFCB-8550-452F-8E0B-A581E86B5C10}"/>
  <bookViews>
    <workbookView xWindow="-108" yWindow="-108" windowWidth="23256" windowHeight="13896" xr2:uid="{FAF94146-EDEE-409D-AB60-D72469E73829}"/>
  </bookViews>
  <sheets>
    <sheet name="COVER" sheetId="1" r:id="rId1"/>
    <sheet name="SUMMARY" sheetId="6" r:id="rId2"/>
    <sheet name="HISTORICAL FS" sheetId="8" r:id="rId3"/>
    <sheet name="ASSUMPTIONS" sheetId="2" r:id="rId4"/>
    <sheet name="SCENARIOS" sheetId="3" r:id="rId5"/>
    <sheet name="MODEL&amp;SCHEDULE" sheetId="4" r:id="rId6"/>
    <sheet name="SENSITIVITY" sheetId="9" r:id="rId7"/>
    <sheet name="DCF" sheetId="5" r:id="rId8"/>
    <sheet name="LBO ANALYSIS" sheetId="17" r:id="rId9"/>
    <sheet name="REGRESSION" sheetId="10" r:id="rId10"/>
    <sheet name="COMPS" sheetId="7" r:id="rId11"/>
    <sheet name="MONTE CARLO" sheetId="11" r:id="rId12"/>
    <sheet name="CHECKS" sheetId="12" r:id="rId13"/>
    <sheet name="DASHBOARD" sheetId="13" r:id="rId14"/>
    <sheet name="SOTP" sheetId="14" r:id="rId15"/>
    <sheet name="ACCOUNTING" sheetId="15" r:id="rId16"/>
    <sheet name="SOURCE" sheetId="16" r:id="rId17"/>
    <sheet name="rough sheet" sheetId="18" r:id="rId18"/>
  </sheets>
  <definedNames>
    <definedName name="Balcheck">'MODEL&amp;SCHEDULE'!$D$234</definedName>
    <definedName name="Base_Year">'HISTORICAL FS'!$I$5</definedName>
    <definedName name="circularity">COVER!$C$21</definedName>
    <definedName name="Forecast_year">ASSUMPTIONS!$D$22</definedName>
    <definedName name="L_Scenarios">SCENARIOS!$C$15:$C$17</definedName>
    <definedName name="S_Scenario">SCENARIOS!$D$8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3" l="1"/>
  <c r="C16" i="3"/>
  <c r="C17" i="3"/>
  <c r="C24" i="3"/>
  <c r="C25" i="3"/>
  <c r="C23" i="3"/>
  <c r="D8" i="9"/>
  <c r="K1" i="3"/>
  <c r="E73" i="9"/>
  <c r="D73" i="9"/>
  <c r="C73" i="9"/>
  <c r="M3" i="9"/>
  <c r="M2" i="9"/>
  <c r="C68" i="9"/>
  <c r="C75" i="9" s="1"/>
  <c r="C67" i="9"/>
  <c r="C74" i="9" s="1"/>
  <c r="F89" i="4"/>
  <c r="G89" i="4"/>
  <c r="H89" i="4"/>
  <c r="I89" i="4"/>
  <c r="E89" i="4"/>
  <c r="I97" i="9"/>
  <c r="I96" i="9"/>
  <c r="C97" i="9"/>
  <c r="C54" i="9" s="1"/>
  <c r="C96" i="9"/>
  <c r="C92" i="9"/>
  <c r="L10" i="9" s="1"/>
  <c r="U9" i="9" s="1"/>
  <c r="I85" i="9"/>
  <c r="C85" i="9"/>
  <c r="K4" i="9"/>
  <c r="L4" i="9"/>
  <c r="M4" i="9"/>
  <c r="N4" i="9"/>
  <c r="K5" i="9"/>
  <c r="L5" i="9"/>
  <c r="M5" i="9"/>
  <c r="N5" i="9"/>
  <c r="J4" i="9"/>
  <c r="J5" i="9"/>
  <c r="C87" i="9"/>
  <c r="J89" i="9"/>
  <c r="E56" i="9" s="1"/>
  <c r="J98" i="9" s="1"/>
  <c r="J90" i="9"/>
  <c r="E57" i="9" s="1"/>
  <c r="C90" i="9"/>
  <c r="C57" i="9" s="1"/>
  <c r="C63" i="9" s="1"/>
  <c r="C69" i="9" s="1"/>
  <c r="C76" i="9" s="1"/>
  <c r="C88" i="9"/>
  <c r="C55" i="9" s="1"/>
  <c r="C61" i="9" s="1"/>
  <c r="C89" i="9"/>
  <c r="C56" i="9" s="1"/>
  <c r="C62" i="9" s="1"/>
  <c r="I43" i="6"/>
  <c r="H43" i="6"/>
  <c r="C43" i="6"/>
  <c r="D43" i="6"/>
  <c r="I33" i="6"/>
  <c r="H33" i="6"/>
  <c r="H20" i="6"/>
  <c r="H26" i="6"/>
  <c r="I26" i="6"/>
  <c r="I20" i="6"/>
  <c r="F73" i="4"/>
  <c r="G73" i="4"/>
  <c r="H73" i="4"/>
  <c r="I73" i="4"/>
  <c r="I79" i="4" s="1"/>
  <c r="I27" i="6" s="1"/>
  <c r="E73" i="4"/>
  <c r="H19" i="6"/>
  <c r="I19" i="6"/>
  <c r="G19" i="6"/>
  <c r="C25" i="6"/>
  <c r="I14" i="6"/>
  <c r="H32" i="6"/>
  <c r="I32" i="6"/>
  <c r="G32" i="6"/>
  <c r="H14" i="6"/>
  <c r="H13" i="6"/>
  <c r="I13" i="6"/>
  <c r="H15" i="6"/>
  <c r="I15" i="6"/>
  <c r="H21" i="6"/>
  <c r="I21" i="6"/>
  <c r="H25" i="6"/>
  <c r="I25" i="6"/>
  <c r="G25" i="6"/>
  <c r="G21" i="6"/>
  <c r="G15" i="6"/>
  <c r="G13" i="6"/>
  <c r="C32" i="6"/>
  <c r="C27" i="6"/>
  <c r="C21" i="6"/>
  <c r="C19" i="6"/>
  <c r="C15" i="6"/>
  <c r="C13" i="6"/>
  <c r="G81" i="4"/>
  <c r="H81" i="4"/>
  <c r="I81" i="4"/>
  <c r="F81" i="4"/>
  <c r="F836" i="18"/>
  <c r="F82" i="4"/>
  <c r="G82" i="4"/>
  <c r="H82" i="4"/>
  <c r="I82" i="4"/>
  <c r="F84" i="4"/>
  <c r="G84" i="4"/>
  <c r="H84" i="4"/>
  <c r="I84" i="4"/>
  <c r="C84" i="4"/>
  <c r="F77" i="4"/>
  <c r="G77" i="4"/>
  <c r="H77" i="4"/>
  <c r="I77" i="4"/>
  <c r="F78" i="4"/>
  <c r="G78" i="4"/>
  <c r="H78" i="4"/>
  <c r="I78" i="4"/>
  <c r="F79" i="4"/>
  <c r="G79" i="4"/>
  <c r="G27" i="6" s="1"/>
  <c r="H79" i="4"/>
  <c r="H27" i="6" s="1"/>
  <c r="F80" i="4"/>
  <c r="G80" i="4"/>
  <c r="H80" i="4"/>
  <c r="I80" i="4"/>
  <c r="E80" i="4"/>
  <c r="E79" i="4"/>
  <c r="E78" i="4"/>
  <c r="E77" i="4"/>
  <c r="E828" i="18"/>
  <c r="J60" i="4"/>
  <c r="K55" i="4"/>
  <c r="K60" i="4" s="1"/>
  <c r="J50" i="4"/>
  <c r="J53" i="4"/>
  <c r="J63" i="4" s="1"/>
  <c r="K53" i="4"/>
  <c r="K63" i="4" s="1"/>
  <c r="L53" i="4"/>
  <c r="L63" i="4" s="1"/>
  <c r="M53" i="4"/>
  <c r="M63" i="4" s="1"/>
  <c r="N53" i="4"/>
  <c r="N63" i="4" s="1"/>
  <c r="E796" i="18"/>
  <c r="G1488" i="18"/>
  <c r="G1486" i="18"/>
  <c r="G1487" i="18"/>
  <c r="D419" i="4"/>
  <c r="F1487" i="18"/>
  <c r="J419" i="4"/>
  <c r="D821" i="4" s="1"/>
  <c r="C419" i="4"/>
  <c r="C821" i="4" s="1"/>
  <c r="F66" i="4"/>
  <c r="G66" i="4"/>
  <c r="H66" i="4"/>
  <c r="I66" i="4"/>
  <c r="E66" i="4"/>
  <c r="C55" i="4"/>
  <c r="C60" i="4" s="1"/>
  <c r="F807" i="4"/>
  <c r="F55" i="4" s="1"/>
  <c r="F60" i="4" s="1"/>
  <c r="G807" i="4"/>
  <c r="G55" i="4" s="1"/>
  <c r="G60" i="4" s="1"/>
  <c r="H807" i="4"/>
  <c r="H55" i="4" s="1"/>
  <c r="H60" i="4" s="1"/>
  <c r="I807" i="4"/>
  <c r="I55" i="4" s="1"/>
  <c r="I60" i="4" s="1"/>
  <c r="E807" i="4"/>
  <c r="E55" i="4" s="1"/>
  <c r="E60" i="4" s="1"/>
  <c r="G791" i="4"/>
  <c r="F50" i="4"/>
  <c r="H50" i="4"/>
  <c r="I50" i="4"/>
  <c r="F51" i="4"/>
  <c r="F61" i="4" s="1"/>
  <c r="G51" i="4"/>
  <c r="G61" i="4" s="1"/>
  <c r="F52" i="4"/>
  <c r="F62" i="4" s="1"/>
  <c r="G52" i="4"/>
  <c r="G62" i="4" s="1"/>
  <c r="E52" i="4"/>
  <c r="E62" i="4" s="1"/>
  <c r="E51" i="4"/>
  <c r="E61" i="4" s="1"/>
  <c r="E50" i="4"/>
  <c r="J756" i="4"/>
  <c r="K756" i="4" s="1"/>
  <c r="L756" i="4" s="1"/>
  <c r="M756" i="4" s="1"/>
  <c r="N756" i="4" s="1"/>
  <c r="J758" i="4"/>
  <c r="K758" i="4" s="1"/>
  <c r="J755" i="4"/>
  <c r="K755" i="4" s="1"/>
  <c r="I1059" i="18"/>
  <c r="N79" i="3" a="1"/>
  <c r="N79" i="3" s="1"/>
  <c r="N460" i="4" s="1"/>
  <c r="M79" i="3" a="1"/>
  <c r="M79" i="3" s="1"/>
  <c r="M460" i="4" s="1"/>
  <c r="L79" i="3" a="1"/>
  <c r="L79" i="3" s="1"/>
  <c r="L460" i="4" s="1"/>
  <c r="K79" i="3" a="1"/>
  <c r="K79" i="3" s="1"/>
  <c r="K460" i="4" s="1"/>
  <c r="J79" i="3" a="1"/>
  <c r="J79" i="3" s="1"/>
  <c r="J460" i="4" s="1"/>
  <c r="N71" i="3" a="1"/>
  <c r="N71" i="3" s="1"/>
  <c r="N346" i="4" s="1"/>
  <c r="M71" i="3" a="1"/>
  <c r="M71" i="3" s="1"/>
  <c r="M346" i="4" s="1"/>
  <c r="L71" i="3" a="1"/>
  <c r="L71" i="3" s="1"/>
  <c r="L346" i="4" s="1"/>
  <c r="K71" i="3" a="1"/>
  <c r="K71" i="3" s="1"/>
  <c r="K346" i="4" s="1"/>
  <c r="J71" i="3" a="1"/>
  <c r="J71" i="3" s="1"/>
  <c r="J346" i="4" s="1"/>
  <c r="N62" i="3" a="1"/>
  <c r="N62" i="3" s="1"/>
  <c r="M62" i="3" a="1"/>
  <c r="M62" i="3" s="1"/>
  <c r="L62" i="3" a="1"/>
  <c r="L62" i="3" s="1"/>
  <c r="K62" i="3" a="1"/>
  <c r="K62" i="3" s="1"/>
  <c r="J62" i="3" a="1"/>
  <c r="J62" i="3" s="1"/>
  <c r="N54" i="3" a="1"/>
  <c r="N54" i="3" s="1"/>
  <c r="M54" i="3" a="1"/>
  <c r="M54" i="3" s="1"/>
  <c r="L54" i="3" a="1"/>
  <c r="L54" i="3" s="1"/>
  <c r="K54" i="3" a="1"/>
  <c r="K54" i="3" s="1"/>
  <c r="J54" i="3" a="1"/>
  <c r="J54" i="3" s="1"/>
  <c r="N45" i="3" a="1"/>
  <c r="N45" i="3" s="1"/>
  <c r="M45" i="3" a="1"/>
  <c r="M45" i="3" s="1"/>
  <c r="L45" i="3" a="1"/>
  <c r="L45" i="3" s="1"/>
  <c r="K45" i="3" a="1"/>
  <c r="K45" i="3" s="1"/>
  <c r="J45" i="3" a="1"/>
  <c r="J45" i="3" s="1"/>
  <c r="N37" i="3" a="1"/>
  <c r="N37" i="3" s="1"/>
  <c r="M37" i="3" a="1"/>
  <c r="M37" i="3" s="1"/>
  <c r="L37" i="3" a="1"/>
  <c r="L37" i="3" s="1"/>
  <c r="K37" i="3" a="1"/>
  <c r="K37" i="3" s="1"/>
  <c r="J37" i="3" a="1"/>
  <c r="J37" i="3" s="1"/>
  <c r="N29" i="3" a="1"/>
  <c r="N29" i="3" s="1"/>
  <c r="M29" i="3" a="1"/>
  <c r="M29" i="3" s="1"/>
  <c r="L29" i="3" a="1"/>
  <c r="L29" i="3" s="1"/>
  <c r="K29" i="3" a="1"/>
  <c r="K29" i="3" s="1"/>
  <c r="J29" i="3" a="1"/>
  <c r="J29" i="3" s="1"/>
  <c r="B6" i="4"/>
  <c r="D38" i="6"/>
  <c r="D39" i="6"/>
  <c r="D40" i="6"/>
  <c r="D41" i="6"/>
  <c r="G4" i="6"/>
  <c r="G5" i="6"/>
  <c r="J4" i="8"/>
  <c r="K4" i="8"/>
  <c r="L4" i="8" s="1"/>
  <c r="M4" i="8" s="1"/>
  <c r="N4" i="8" s="1"/>
  <c r="C744" i="18"/>
  <c r="C745" i="18"/>
  <c r="H745" i="18"/>
  <c r="I745" i="18"/>
  <c r="I857" i="18" s="1"/>
  <c r="C746" i="18"/>
  <c r="H746" i="18"/>
  <c r="I746" i="18"/>
  <c r="I858" i="18" s="1"/>
  <c r="C747" i="18"/>
  <c r="E747" i="18"/>
  <c r="F859" i="18" s="1"/>
  <c r="F747" i="18"/>
  <c r="G747" i="18"/>
  <c r="C748" i="18"/>
  <c r="E748" i="18"/>
  <c r="F748" i="18"/>
  <c r="F749" i="18" s="1"/>
  <c r="F753" i="18" s="1"/>
  <c r="G748" i="18"/>
  <c r="G749" i="18" s="1"/>
  <c r="H748" i="18"/>
  <c r="I748" i="18"/>
  <c r="I860" i="18" s="1"/>
  <c r="D749" i="18"/>
  <c r="D2383" i="18" s="1"/>
  <c r="C750" i="18"/>
  <c r="E750" i="18"/>
  <c r="F750" i="18"/>
  <c r="F862" i="18" s="1"/>
  <c r="G750" i="18"/>
  <c r="G862" i="18" s="1"/>
  <c r="H750" i="18"/>
  <c r="I750" i="18"/>
  <c r="C751" i="18"/>
  <c r="E751" i="18"/>
  <c r="F751" i="18"/>
  <c r="G751" i="18"/>
  <c r="H751" i="18"/>
  <c r="I751" i="18"/>
  <c r="C752" i="18"/>
  <c r="F752" i="18"/>
  <c r="G752" i="18"/>
  <c r="H752" i="18"/>
  <c r="I752" i="18"/>
  <c r="C753" i="18"/>
  <c r="C754" i="18"/>
  <c r="E754" i="18"/>
  <c r="F754" i="18"/>
  <c r="G754" i="18"/>
  <c r="H754" i="18"/>
  <c r="I754" i="18"/>
  <c r="C755" i="18"/>
  <c r="E755" i="18"/>
  <c r="F755" i="18"/>
  <c r="G755" i="18"/>
  <c r="H755" i="18"/>
  <c r="I755" i="18"/>
  <c r="C756" i="18"/>
  <c r="C757" i="18"/>
  <c r="E757" i="18"/>
  <c r="F757" i="18"/>
  <c r="G757" i="18"/>
  <c r="H757" i="18"/>
  <c r="I757" i="18"/>
  <c r="C758" i="18"/>
  <c r="E758" i="18"/>
  <c r="F758" i="18"/>
  <c r="G758" i="18"/>
  <c r="H758" i="18"/>
  <c r="I758" i="18"/>
  <c r="C759" i="18"/>
  <c r="E759" i="18"/>
  <c r="E767" i="18" s="1"/>
  <c r="F759" i="18"/>
  <c r="F767" i="18" s="1"/>
  <c r="G759" i="18"/>
  <c r="H759" i="18"/>
  <c r="I759" i="18"/>
  <c r="C760" i="18"/>
  <c r="C761" i="18"/>
  <c r="C2109" i="18" s="1"/>
  <c r="E761" i="18"/>
  <c r="F761" i="18"/>
  <c r="G761" i="18"/>
  <c r="H761" i="18"/>
  <c r="I761" i="18"/>
  <c r="C762" i="18"/>
  <c r="H762" i="18"/>
  <c r="I762" i="18"/>
  <c r="C763" i="18"/>
  <c r="H763" i="18"/>
  <c r="C764" i="18"/>
  <c r="C767" i="18"/>
  <c r="G767" i="18"/>
  <c r="H767" i="18"/>
  <c r="I767" i="18"/>
  <c r="C768" i="18"/>
  <c r="H768" i="18"/>
  <c r="C769" i="18"/>
  <c r="C771" i="18"/>
  <c r="E771" i="18"/>
  <c r="C772" i="18"/>
  <c r="E772" i="18"/>
  <c r="F772" i="18"/>
  <c r="G772" i="18"/>
  <c r="H772" i="18"/>
  <c r="I772" i="18"/>
  <c r="I773" i="18"/>
  <c r="E780" i="18"/>
  <c r="F780" i="18"/>
  <c r="G780" i="18"/>
  <c r="H780" i="18"/>
  <c r="I780" i="18"/>
  <c r="E781" i="18"/>
  <c r="F781" i="18"/>
  <c r="G781" i="18"/>
  <c r="C782" i="18"/>
  <c r="H782" i="18"/>
  <c r="I782" i="18"/>
  <c r="C783" i="18"/>
  <c r="I783" i="18"/>
  <c r="C784" i="18"/>
  <c r="E784" i="18"/>
  <c r="F784" i="18"/>
  <c r="G784" i="18"/>
  <c r="I784" i="18"/>
  <c r="C787" i="18"/>
  <c r="G787" i="18"/>
  <c r="C788" i="18"/>
  <c r="E788" i="18"/>
  <c r="E790" i="18" s="1"/>
  <c r="F788" i="18"/>
  <c r="G788" i="18"/>
  <c r="G790" i="18" s="1"/>
  <c r="H788" i="18"/>
  <c r="H790" i="18" s="1"/>
  <c r="I788" i="18"/>
  <c r="I790" i="18" s="1"/>
  <c r="C789" i="18"/>
  <c r="E789" i="18"/>
  <c r="F789" i="18"/>
  <c r="G789" i="18"/>
  <c r="H789" i="18"/>
  <c r="I789" i="18"/>
  <c r="F790" i="18"/>
  <c r="C793" i="18"/>
  <c r="G793" i="18"/>
  <c r="C794" i="18"/>
  <c r="E794" i="18"/>
  <c r="F794" i="18"/>
  <c r="G794" i="18"/>
  <c r="H794" i="18"/>
  <c r="I794" i="18"/>
  <c r="C796" i="18"/>
  <c r="C797" i="18"/>
  <c r="C800" i="18"/>
  <c r="B814" i="18"/>
  <c r="C814" i="18"/>
  <c r="I816" i="18"/>
  <c r="E823" i="18"/>
  <c r="F823" i="18"/>
  <c r="G823" i="18"/>
  <c r="H823" i="18"/>
  <c r="I823" i="18"/>
  <c r="F850" i="18"/>
  <c r="F852" i="18"/>
  <c r="G859" i="18"/>
  <c r="F860" i="18"/>
  <c r="G860" i="18"/>
  <c r="H860" i="18"/>
  <c r="F864" i="18"/>
  <c r="C872" i="18"/>
  <c r="C873" i="18"/>
  <c r="I873" i="18"/>
  <c r="C875" i="18"/>
  <c r="E875" i="18"/>
  <c r="F875" i="18"/>
  <c r="G875" i="18"/>
  <c r="H875" i="18"/>
  <c r="I875" i="18"/>
  <c r="C876" i="18"/>
  <c r="E876" i="18"/>
  <c r="F876" i="18"/>
  <c r="G876" i="18"/>
  <c r="H876" i="18"/>
  <c r="I876" i="18"/>
  <c r="C877" i="18"/>
  <c r="E877" i="18"/>
  <c r="F877" i="18"/>
  <c r="G877" i="18"/>
  <c r="H877" i="18"/>
  <c r="I877" i="18"/>
  <c r="C878" i="18"/>
  <c r="E878" i="18"/>
  <c r="F878" i="18"/>
  <c r="G878" i="18"/>
  <c r="H878" i="18"/>
  <c r="I878" i="18"/>
  <c r="C879" i="18"/>
  <c r="E879" i="18"/>
  <c r="F879" i="18"/>
  <c r="G879" i="18"/>
  <c r="H879" i="18"/>
  <c r="I879" i="18"/>
  <c r="C880" i="18"/>
  <c r="E880" i="18"/>
  <c r="F880" i="18"/>
  <c r="G880" i="18"/>
  <c r="H880" i="18"/>
  <c r="I880" i="18"/>
  <c r="C881" i="18"/>
  <c r="E881" i="18"/>
  <c r="F881" i="18"/>
  <c r="G881" i="18"/>
  <c r="H881" i="18"/>
  <c r="I881" i="18"/>
  <c r="C882" i="18"/>
  <c r="E882" i="18"/>
  <c r="C884" i="18"/>
  <c r="E884" i="18"/>
  <c r="F884" i="18"/>
  <c r="F2266" i="18" s="1"/>
  <c r="G884" i="18"/>
  <c r="G2266" i="18" s="1"/>
  <c r="H884" i="18"/>
  <c r="H2266" i="18" s="1"/>
  <c r="I884" i="18"/>
  <c r="C885" i="18"/>
  <c r="E885" i="18"/>
  <c r="F885" i="18"/>
  <c r="G885" i="18"/>
  <c r="H885" i="18"/>
  <c r="I885" i="18"/>
  <c r="C886" i="18"/>
  <c r="E886" i="18"/>
  <c r="F886" i="18"/>
  <c r="F2268" i="18" s="1"/>
  <c r="G886" i="18"/>
  <c r="G2268" i="18" s="1"/>
  <c r="H886" i="18"/>
  <c r="H2268" i="18" s="1"/>
  <c r="I886" i="18"/>
  <c r="C887" i="18"/>
  <c r="C888" i="18"/>
  <c r="E888" i="18"/>
  <c r="F888" i="18"/>
  <c r="G888" i="18"/>
  <c r="H888" i="18"/>
  <c r="I888" i="18"/>
  <c r="C889" i="18"/>
  <c r="C891" i="18"/>
  <c r="C893" i="18"/>
  <c r="E893" i="18"/>
  <c r="F893" i="18"/>
  <c r="G893" i="18"/>
  <c r="H893" i="18"/>
  <c r="I893" i="18"/>
  <c r="C894" i="18"/>
  <c r="E894" i="18"/>
  <c r="F894" i="18"/>
  <c r="G894" i="18"/>
  <c r="H894" i="18"/>
  <c r="I894" i="18"/>
  <c r="C895" i="18"/>
  <c r="E895" i="18"/>
  <c r="E897" i="18" s="1"/>
  <c r="F895" i="18"/>
  <c r="G895" i="18"/>
  <c r="H895" i="18"/>
  <c r="I895" i="18"/>
  <c r="C896" i="18"/>
  <c r="E896" i="18"/>
  <c r="F896" i="18"/>
  <c r="G896" i="18"/>
  <c r="H896" i="18"/>
  <c r="I896" i="18"/>
  <c r="F897" i="18"/>
  <c r="G897" i="18"/>
  <c r="H897" i="18"/>
  <c r="I897" i="18"/>
  <c r="I913" i="18" s="1"/>
  <c r="C899" i="18"/>
  <c r="E899" i="18"/>
  <c r="F899" i="18"/>
  <c r="G899" i="18"/>
  <c r="H899" i="18"/>
  <c r="I899" i="18"/>
  <c r="C900" i="18"/>
  <c r="E900" i="18"/>
  <c r="F900" i="18"/>
  <c r="G900" i="18"/>
  <c r="H900" i="18"/>
  <c r="H901" i="18" s="1"/>
  <c r="I900" i="18"/>
  <c r="I901" i="18" s="1"/>
  <c r="E901" i="18"/>
  <c r="C903" i="18"/>
  <c r="E903" i="18"/>
  <c r="F903" i="18"/>
  <c r="H903" i="18"/>
  <c r="I903" i="18"/>
  <c r="I911" i="18" s="1"/>
  <c r="C904" i="18"/>
  <c r="F904" i="18"/>
  <c r="C905" i="18"/>
  <c r="C906" i="18"/>
  <c r="F906" i="18"/>
  <c r="G906" i="18"/>
  <c r="G911" i="18" s="1"/>
  <c r="H906" i="18"/>
  <c r="C907" i="18"/>
  <c r="E907" i="18"/>
  <c r="F907" i="18"/>
  <c r="G907" i="18"/>
  <c r="H907" i="18"/>
  <c r="C908" i="18"/>
  <c r="F908" i="18"/>
  <c r="C909" i="18"/>
  <c r="F909" i="18"/>
  <c r="G909" i="18"/>
  <c r="C910" i="18"/>
  <c r="F910" i="18"/>
  <c r="E911" i="18"/>
  <c r="C912" i="18"/>
  <c r="E912" i="18"/>
  <c r="F912" i="18"/>
  <c r="G912" i="18"/>
  <c r="H912" i="18"/>
  <c r="I912" i="18"/>
  <c r="C913" i="18"/>
  <c r="C915" i="18"/>
  <c r="C917" i="18"/>
  <c r="E917" i="18"/>
  <c r="F917" i="18"/>
  <c r="G917" i="18"/>
  <c r="H917" i="18"/>
  <c r="H920" i="18" s="1"/>
  <c r="I917" i="18"/>
  <c r="C918" i="18"/>
  <c r="I918" i="18"/>
  <c r="C919" i="18"/>
  <c r="E919" i="18"/>
  <c r="F919" i="18"/>
  <c r="F920" i="18" s="1"/>
  <c r="G919" i="18"/>
  <c r="G920" i="18" s="1"/>
  <c r="H919" i="18"/>
  <c r="I919" i="18"/>
  <c r="I920" i="18" s="1"/>
  <c r="C922" i="18"/>
  <c r="E922" i="18"/>
  <c r="E924" i="18" s="1"/>
  <c r="F922" i="18"/>
  <c r="F924" i="18" s="1"/>
  <c r="G922" i="18"/>
  <c r="G924" i="18" s="1"/>
  <c r="H922" i="18"/>
  <c r="I922" i="18"/>
  <c r="C923" i="18"/>
  <c r="E923" i="18"/>
  <c r="F923" i="18"/>
  <c r="G923" i="18"/>
  <c r="H923" i="18"/>
  <c r="I923" i="18"/>
  <c r="H924" i="18"/>
  <c r="I924" i="18"/>
  <c r="C926" i="18"/>
  <c r="E926" i="18"/>
  <c r="I926" i="18"/>
  <c r="C927" i="18"/>
  <c r="I927" i="18"/>
  <c r="C928" i="18"/>
  <c r="G928" i="18"/>
  <c r="H928" i="18"/>
  <c r="I928" i="18"/>
  <c r="C929" i="18"/>
  <c r="I929" i="18"/>
  <c r="E930" i="18"/>
  <c r="F930" i="18"/>
  <c r="G930" i="18"/>
  <c r="H930" i="18"/>
  <c r="C932" i="18"/>
  <c r="E932" i="18"/>
  <c r="F932" i="18"/>
  <c r="G932" i="18"/>
  <c r="C933" i="18"/>
  <c r="E933" i="18"/>
  <c r="F933" i="18"/>
  <c r="F936" i="18" s="1"/>
  <c r="H933" i="18"/>
  <c r="I933" i="18"/>
  <c r="C934" i="18"/>
  <c r="E934" i="18"/>
  <c r="F934" i="18"/>
  <c r="G934" i="18"/>
  <c r="G936" i="18" s="1"/>
  <c r="H934" i="18"/>
  <c r="I934" i="18"/>
  <c r="C935" i="18"/>
  <c r="E935" i="18"/>
  <c r="F935" i="18"/>
  <c r="G935" i="18"/>
  <c r="H935" i="18"/>
  <c r="I935" i="18"/>
  <c r="E936" i="18"/>
  <c r="C938" i="18"/>
  <c r="H938" i="18"/>
  <c r="I938" i="18"/>
  <c r="C939" i="18"/>
  <c r="H939" i="18"/>
  <c r="C940" i="18"/>
  <c r="E940" i="18"/>
  <c r="H940" i="18"/>
  <c r="I940" i="18"/>
  <c r="C941" i="18"/>
  <c r="C942" i="18"/>
  <c r="C943" i="18"/>
  <c r="E943" i="18"/>
  <c r="F943" i="18"/>
  <c r="G943" i="18"/>
  <c r="H943" i="18"/>
  <c r="I943" i="18"/>
  <c r="C944" i="18"/>
  <c r="H944" i="18"/>
  <c r="C945" i="18"/>
  <c r="E945" i="18"/>
  <c r="F945" i="18"/>
  <c r="G945" i="18"/>
  <c r="I945" i="18"/>
  <c r="C946" i="18"/>
  <c r="E958" i="18"/>
  <c r="F958" i="18"/>
  <c r="F965" i="18" s="1"/>
  <c r="G958" i="18"/>
  <c r="G965" i="18" s="1"/>
  <c r="H958" i="18"/>
  <c r="H965" i="18" s="1"/>
  <c r="I958" i="18"/>
  <c r="I965" i="18" s="1"/>
  <c r="E959" i="18"/>
  <c r="F959" i="18"/>
  <c r="G959" i="18"/>
  <c r="H959" i="18"/>
  <c r="I959" i="18"/>
  <c r="E960" i="18"/>
  <c r="F960" i="18"/>
  <c r="G960" i="18"/>
  <c r="H960" i="18"/>
  <c r="I960" i="18"/>
  <c r="E961" i="18"/>
  <c r="F961" i="18"/>
  <c r="G961" i="18"/>
  <c r="H961" i="18"/>
  <c r="I961" i="18"/>
  <c r="E962" i="18"/>
  <c r="F962" i="18"/>
  <c r="G962" i="18"/>
  <c r="H962" i="18"/>
  <c r="I962" i="18"/>
  <c r="E963" i="18"/>
  <c r="I963" i="18"/>
  <c r="E964" i="18"/>
  <c r="E2542" i="18" s="1"/>
  <c r="F964" i="18"/>
  <c r="C969" i="18"/>
  <c r="E969" i="18"/>
  <c r="F969" i="18"/>
  <c r="G969" i="18"/>
  <c r="H969" i="18"/>
  <c r="I969" i="18"/>
  <c r="C970" i="18"/>
  <c r="E970" i="18"/>
  <c r="F970" i="18"/>
  <c r="G970" i="18"/>
  <c r="H970" i="18"/>
  <c r="I970" i="18"/>
  <c r="C971" i="18"/>
  <c r="E971" i="18"/>
  <c r="E2257" i="18" s="1"/>
  <c r="E2367" i="18" s="1"/>
  <c r="F971" i="18"/>
  <c r="F2257" i="18" s="1"/>
  <c r="F2367" i="18" s="1"/>
  <c r="G971" i="18"/>
  <c r="H971" i="18"/>
  <c r="I971" i="18"/>
  <c r="C972" i="18"/>
  <c r="E972" i="18"/>
  <c r="F972" i="18"/>
  <c r="G972" i="18"/>
  <c r="H972" i="18"/>
  <c r="I972" i="18"/>
  <c r="C973" i="18"/>
  <c r="H973" i="18"/>
  <c r="C974" i="18"/>
  <c r="E974" i="18"/>
  <c r="F974" i="18"/>
  <c r="G974" i="18"/>
  <c r="H974" i="18"/>
  <c r="I974" i="18"/>
  <c r="C980" i="18"/>
  <c r="E980" i="18"/>
  <c r="F980" i="18"/>
  <c r="F1011" i="18" s="1"/>
  <c r="G980" i="18"/>
  <c r="H980" i="18"/>
  <c r="I980" i="18"/>
  <c r="C981" i="18"/>
  <c r="H981" i="18"/>
  <c r="I981" i="18"/>
  <c r="C982" i="18"/>
  <c r="E982" i="18"/>
  <c r="F982" i="18"/>
  <c r="G982" i="18"/>
  <c r="H982" i="18"/>
  <c r="I982" i="18"/>
  <c r="C983" i="18"/>
  <c r="E983" i="18"/>
  <c r="F983" i="18"/>
  <c r="G983" i="18"/>
  <c r="H983" i="18"/>
  <c r="I983" i="18"/>
  <c r="C984" i="18"/>
  <c r="E984" i="18"/>
  <c r="F984" i="18"/>
  <c r="G984" i="18"/>
  <c r="H984" i="18"/>
  <c r="I984" i="18"/>
  <c r="C985" i="18"/>
  <c r="E985" i="18"/>
  <c r="F985" i="18"/>
  <c r="G985" i="18"/>
  <c r="I985" i="18"/>
  <c r="G986" i="18"/>
  <c r="H986" i="18"/>
  <c r="C990" i="18"/>
  <c r="G990" i="18"/>
  <c r="G997" i="18" s="1"/>
  <c r="G999" i="18" s="1"/>
  <c r="C991" i="18"/>
  <c r="E991" i="18"/>
  <c r="F991" i="18"/>
  <c r="G991" i="18"/>
  <c r="H991" i="18"/>
  <c r="I991" i="18"/>
  <c r="C992" i="18"/>
  <c r="E992" i="18"/>
  <c r="E997" i="18" s="1"/>
  <c r="F992" i="18"/>
  <c r="G992" i="18"/>
  <c r="H992" i="18"/>
  <c r="I992" i="18"/>
  <c r="C993" i="18"/>
  <c r="E993" i="18"/>
  <c r="F993" i="18"/>
  <c r="G993" i="18"/>
  <c r="H993" i="18"/>
  <c r="I993" i="18"/>
  <c r="C994" i="18"/>
  <c r="F994" i="18"/>
  <c r="G994" i="18"/>
  <c r="H994" i="18"/>
  <c r="I994" i="18"/>
  <c r="C995" i="18"/>
  <c r="E995" i="18"/>
  <c r="F995" i="18"/>
  <c r="G995" i="18"/>
  <c r="H995" i="18"/>
  <c r="I995" i="18"/>
  <c r="C996" i="18"/>
  <c r="G996" i="18"/>
  <c r="H996" i="18"/>
  <c r="I996" i="18"/>
  <c r="C997" i="18"/>
  <c r="C999" i="18"/>
  <c r="C1001" i="18"/>
  <c r="C1004" i="18"/>
  <c r="E1004" i="18"/>
  <c r="F1004" i="18"/>
  <c r="F1017" i="18" s="1"/>
  <c r="G1004" i="18"/>
  <c r="G1017" i="18" s="1"/>
  <c r="H1004" i="18"/>
  <c r="I1004" i="18"/>
  <c r="C1006" i="18"/>
  <c r="E1010" i="18"/>
  <c r="F1010" i="18"/>
  <c r="G1010" i="18"/>
  <c r="E1011" i="18"/>
  <c r="G1011" i="18"/>
  <c r="G1012" i="18"/>
  <c r="E1017" i="18"/>
  <c r="AD1045" i="18"/>
  <c r="AE1045" i="18"/>
  <c r="AF1045" i="18" s="1"/>
  <c r="AG1045" i="18" s="1"/>
  <c r="AF1046" i="18"/>
  <c r="AG1046" i="18"/>
  <c r="I1048" i="18"/>
  <c r="AF1049" i="18"/>
  <c r="AG1049" i="18"/>
  <c r="I1050" i="18"/>
  <c r="H1051" i="18"/>
  <c r="H747" i="18" s="1"/>
  <c r="I1051" i="18"/>
  <c r="I747" i="18" s="1"/>
  <c r="F1052" i="18"/>
  <c r="G1052" i="18"/>
  <c r="H1052" i="18"/>
  <c r="G1053" i="18"/>
  <c r="H1053" i="18"/>
  <c r="AC1054" i="18"/>
  <c r="AD1054" i="18"/>
  <c r="AE1054" i="18"/>
  <c r="AF1054" i="18"/>
  <c r="AG1054" i="18"/>
  <c r="F1056" i="18"/>
  <c r="G1056" i="18"/>
  <c r="H1056" i="18"/>
  <c r="I1056" i="18"/>
  <c r="AC1057" i="18"/>
  <c r="AD1057" i="18"/>
  <c r="AE1057" i="18"/>
  <c r="AF1057" i="18"/>
  <c r="AG1057" i="18"/>
  <c r="F1059" i="18"/>
  <c r="G1059" i="18"/>
  <c r="H1059" i="18"/>
  <c r="AF1060" i="18"/>
  <c r="F1061" i="18"/>
  <c r="G1061" i="18"/>
  <c r="H1061" i="18"/>
  <c r="I1061" i="18"/>
  <c r="F1063" i="18"/>
  <c r="G1063" i="18"/>
  <c r="F1065" i="18"/>
  <c r="G1065" i="18"/>
  <c r="E1066" i="18"/>
  <c r="E752" i="18" s="1"/>
  <c r="F1066" i="18"/>
  <c r="G1068" i="18" s="1"/>
  <c r="G1066" i="18"/>
  <c r="AC1066" i="18"/>
  <c r="AD1066" i="18"/>
  <c r="AE1066" i="18"/>
  <c r="AF1066" i="18"/>
  <c r="AG1066" i="18"/>
  <c r="F1068" i="18"/>
  <c r="H1068" i="18"/>
  <c r="I1068" i="18"/>
  <c r="N1068" i="18"/>
  <c r="E1069" i="18"/>
  <c r="F1069" i="18"/>
  <c r="G1069" i="18"/>
  <c r="H1069" i="18"/>
  <c r="I1069" i="18"/>
  <c r="H1070" i="18"/>
  <c r="I1070" i="18"/>
  <c r="E1074" i="18"/>
  <c r="F1074" i="18"/>
  <c r="G1074" i="18"/>
  <c r="H1074" i="18"/>
  <c r="I1074" i="18"/>
  <c r="H1075" i="18"/>
  <c r="I1078" i="18"/>
  <c r="I1080" i="18"/>
  <c r="H1081" i="18"/>
  <c r="H1094" i="18" s="1"/>
  <c r="H1095" i="18" s="1"/>
  <c r="I1081" i="18"/>
  <c r="F1082" i="18"/>
  <c r="G1082" i="18"/>
  <c r="H1082" i="18"/>
  <c r="F1085" i="18"/>
  <c r="G1085" i="18"/>
  <c r="H1085" i="18"/>
  <c r="I1085" i="18"/>
  <c r="F1087" i="18"/>
  <c r="G1087" i="18"/>
  <c r="H1087" i="18"/>
  <c r="I1087" i="18"/>
  <c r="F1089" i="18"/>
  <c r="G1089" i="18"/>
  <c r="H1089" i="18"/>
  <c r="I1089" i="18"/>
  <c r="E1092" i="18"/>
  <c r="F1092" i="18"/>
  <c r="F1093" i="18"/>
  <c r="G1093" i="18"/>
  <c r="H1093" i="18"/>
  <c r="I1093" i="18"/>
  <c r="E1094" i="18"/>
  <c r="F1094" i="18"/>
  <c r="G1094" i="18"/>
  <c r="I1094" i="18"/>
  <c r="I1095" i="18" s="1"/>
  <c r="G1099" i="18"/>
  <c r="H1099" i="18"/>
  <c r="I1099" i="18"/>
  <c r="I1103" i="18"/>
  <c r="I1105" i="18"/>
  <c r="H1106" i="18"/>
  <c r="H1107" i="18" s="1"/>
  <c r="I1106" i="18"/>
  <c r="I1107" i="18" s="1"/>
  <c r="F1107" i="18"/>
  <c r="G1107" i="18"/>
  <c r="F1109" i="18"/>
  <c r="G1109" i="18"/>
  <c r="H1109" i="18"/>
  <c r="I1109" i="18"/>
  <c r="E1111" i="18"/>
  <c r="F1111" i="18"/>
  <c r="F1112" i="18" s="1"/>
  <c r="G1111" i="18"/>
  <c r="H1111" i="18"/>
  <c r="H1112" i="18" s="1"/>
  <c r="I1111" i="18"/>
  <c r="I1112" i="18" s="1"/>
  <c r="F1116" i="18"/>
  <c r="G1116" i="18"/>
  <c r="H1116" i="18"/>
  <c r="I1116" i="18"/>
  <c r="I1118" i="18"/>
  <c r="I1120" i="18"/>
  <c r="H1121" i="18"/>
  <c r="H1122" i="18" s="1"/>
  <c r="I1121" i="18"/>
  <c r="F1122" i="18"/>
  <c r="G1122" i="18"/>
  <c r="I1124" i="18"/>
  <c r="E1127" i="18"/>
  <c r="F1127" i="18"/>
  <c r="G1127" i="18"/>
  <c r="G1128" i="18" s="1"/>
  <c r="H1127" i="18"/>
  <c r="J1134" i="18"/>
  <c r="Q1134" i="18"/>
  <c r="R1134" i="18"/>
  <c r="S1134" i="18"/>
  <c r="T1134" i="18"/>
  <c r="U1134" i="18"/>
  <c r="F1136" i="18"/>
  <c r="G1136" i="18"/>
  <c r="H1136" i="18"/>
  <c r="I1136" i="18"/>
  <c r="J1136" i="18"/>
  <c r="E1137" i="18"/>
  <c r="E1139" i="18" s="1"/>
  <c r="E1143" i="18" s="1"/>
  <c r="F1137" i="18"/>
  <c r="J1137" i="18"/>
  <c r="J1139" i="18" s="1"/>
  <c r="T1137" i="18"/>
  <c r="V1137" i="18" s="1"/>
  <c r="U1137" i="18"/>
  <c r="W1137" i="18"/>
  <c r="G1138" i="18"/>
  <c r="H1138" i="18"/>
  <c r="I1138" i="18"/>
  <c r="J1138" i="18"/>
  <c r="V1138" i="18"/>
  <c r="G1139" i="18"/>
  <c r="H1139" i="18"/>
  <c r="I1139" i="18"/>
  <c r="I1140" i="18"/>
  <c r="J1141" i="18"/>
  <c r="J1143" i="18" s="1"/>
  <c r="T1141" i="18"/>
  <c r="V1141" i="18" s="1"/>
  <c r="U1141" i="18"/>
  <c r="W1141" i="18"/>
  <c r="F1142" i="18"/>
  <c r="G1142" i="18"/>
  <c r="H1142" i="18"/>
  <c r="I1142" i="18"/>
  <c r="J1142" i="18"/>
  <c r="H1143" i="18"/>
  <c r="I1143" i="18"/>
  <c r="I1144" i="18"/>
  <c r="J1145" i="18"/>
  <c r="R1145" i="18"/>
  <c r="S1145" i="18"/>
  <c r="T1145" i="18"/>
  <c r="U1145" i="18"/>
  <c r="F1147" i="18"/>
  <c r="G1147" i="18"/>
  <c r="H1147" i="18"/>
  <c r="I1147" i="18"/>
  <c r="R1148" i="18"/>
  <c r="S1148" i="18"/>
  <c r="T1148" i="18"/>
  <c r="U1148" i="18"/>
  <c r="F1150" i="18"/>
  <c r="G1150" i="18"/>
  <c r="H1150" i="18"/>
  <c r="I1150" i="18"/>
  <c r="R1151" i="18"/>
  <c r="S1151" i="18"/>
  <c r="T1151" i="18"/>
  <c r="U1151" i="18"/>
  <c r="F1153" i="18"/>
  <c r="G1153" i="18"/>
  <c r="H1153" i="18"/>
  <c r="I1153" i="18"/>
  <c r="J1153" i="18"/>
  <c r="J1151" i="18" s="1"/>
  <c r="E1154" i="18"/>
  <c r="H1154" i="18"/>
  <c r="I1154" i="18"/>
  <c r="U1154" i="18"/>
  <c r="G1157" i="18"/>
  <c r="J1157" i="18" s="1"/>
  <c r="J1156" i="18" s="1"/>
  <c r="H1157" i="18"/>
  <c r="I1157" i="18"/>
  <c r="I1158" i="18"/>
  <c r="AF1072" i="18" s="1"/>
  <c r="C1163" i="18"/>
  <c r="C1164" i="18"/>
  <c r="C1166" i="18"/>
  <c r="C1168" i="18"/>
  <c r="H1168" i="18"/>
  <c r="I1168" i="18"/>
  <c r="C1170" i="18"/>
  <c r="C1172" i="18"/>
  <c r="H1172" i="18"/>
  <c r="I1172" i="18"/>
  <c r="I1173" i="18" s="1"/>
  <c r="H1173" i="18"/>
  <c r="C1178" i="18"/>
  <c r="C1179" i="18"/>
  <c r="C1180" i="18"/>
  <c r="C1181" i="18"/>
  <c r="I1187" i="18"/>
  <c r="I1189" i="18"/>
  <c r="I1195" i="18"/>
  <c r="I1196" i="18" s="1"/>
  <c r="I1200" i="18"/>
  <c r="I1203" i="18"/>
  <c r="I1205" i="18"/>
  <c r="E1210" i="18"/>
  <c r="E1212" i="18" s="1"/>
  <c r="F1210" i="18"/>
  <c r="F1212" i="18" s="1"/>
  <c r="G1210" i="18"/>
  <c r="G1212" i="18" s="1"/>
  <c r="H1210" i="18"/>
  <c r="H1212" i="18" s="1"/>
  <c r="I1210" i="18"/>
  <c r="I1212" i="18"/>
  <c r="H1220" i="18"/>
  <c r="I1220" i="18"/>
  <c r="H1222" i="18"/>
  <c r="I1222" i="18"/>
  <c r="E1226" i="18"/>
  <c r="F1226" i="18"/>
  <c r="G1226" i="18"/>
  <c r="H1226" i="18"/>
  <c r="I1226" i="18"/>
  <c r="I1228" i="18"/>
  <c r="I1229" i="18"/>
  <c r="I1230" i="18"/>
  <c r="H1233" i="18"/>
  <c r="I1233" i="18"/>
  <c r="E1235" i="18"/>
  <c r="F1235" i="18"/>
  <c r="G1235" i="18"/>
  <c r="H1235" i="18"/>
  <c r="I1235" i="18"/>
  <c r="I1245" i="18"/>
  <c r="I1247" i="18" s="1"/>
  <c r="I1251" i="18" s="1"/>
  <c r="I1253" i="18" s="1"/>
  <c r="I1260" i="18" s="1"/>
  <c r="I1265" i="18"/>
  <c r="I1268" i="18"/>
  <c r="I1270" i="18"/>
  <c r="I1271" i="18"/>
  <c r="I1272" i="18"/>
  <c r="H1288" i="18"/>
  <c r="I1288" i="18"/>
  <c r="E1337" i="18"/>
  <c r="F1337" i="18"/>
  <c r="G1337" i="18"/>
  <c r="H1337" i="18"/>
  <c r="I1337" i="18"/>
  <c r="E1343" i="18"/>
  <c r="F1343" i="18"/>
  <c r="G1343" i="18"/>
  <c r="H1343" i="18"/>
  <c r="I1343" i="18"/>
  <c r="E1350" i="18"/>
  <c r="F1350" i="18"/>
  <c r="G1350" i="18"/>
  <c r="H1350" i="18"/>
  <c r="I1350" i="18"/>
  <c r="E1361" i="18"/>
  <c r="F1361" i="18"/>
  <c r="F1363" i="18" s="1"/>
  <c r="G1361" i="18"/>
  <c r="G1363" i="18" s="1"/>
  <c r="H1361" i="18"/>
  <c r="H1363" i="18" s="1"/>
  <c r="I1361" i="18"/>
  <c r="E1363" i="18"/>
  <c r="I1363" i="18"/>
  <c r="E1365" i="18"/>
  <c r="F1365" i="18"/>
  <c r="G1365" i="18"/>
  <c r="H1365" i="18"/>
  <c r="I1365" i="18"/>
  <c r="E1375" i="18"/>
  <c r="F1375" i="18"/>
  <c r="G1375" i="18"/>
  <c r="H1375" i="18"/>
  <c r="I1375" i="18"/>
  <c r="E1380" i="18"/>
  <c r="F1380" i="18"/>
  <c r="G1380" i="18"/>
  <c r="H1380" i="18"/>
  <c r="I1380" i="18"/>
  <c r="E1382" i="18"/>
  <c r="F1382" i="18"/>
  <c r="G1382" i="18"/>
  <c r="G1384" i="18" s="1"/>
  <c r="H1382" i="18"/>
  <c r="H1384" i="18" s="1"/>
  <c r="I1382" i="18"/>
  <c r="I1384" i="18" s="1"/>
  <c r="E1412" i="18"/>
  <c r="E1417" i="18" s="1"/>
  <c r="F1412" i="18"/>
  <c r="F1417" i="18" s="1"/>
  <c r="G1412" i="18"/>
  <c r="H1412" i="18"/>
  <c r="I1412" i="18"/>
  <c r="E1415" i="18"/>
  <c r="F1415" i="18"/>
  <c r="G1415" i="18"/>
  <c r="H1415" i="18"/>
  <c r="I1415" i="18"/>
  <c r="G1417" i="18"/>
  <c r="H1417" i="18"/>
  <c r="I1417" i="18"/>
  <c r="E1426" i="18"/>
  <c r="E2282" i="18" s="1"/>
  <c r="E1437" i="18"/>
  <c r="E1439" i="18"/>
  <c r="E1451" i="18"/>
  <c r="F1451" i="18"/>
  <c r="G1451" i="18"/>
  <c r="H1451" i="18"/>
  <c r="I1451" i="18"/>
  <c r="E1462" i="18"/>
  <c r="F1462" i="18"/>
  <c r="G1462" i="18"/>
  <c r="E1480" i="18"/>
  <c r="F1480" i="18"/>
  <c r="G1480" i="18"/>
  <c r="H1480" i="18"/>
  <c r="I1480" i="18"/>
  <c r="E1487" i="18"/>
  <c r="H1487" i="18"/>
  <c r="K1487" i="18"/>
  <c r="N1487" i="18"/>
  <c r="Q1487" i="18"/>
  <c r="E1497" i="18"/>
  <c r="F1497" i="18"/>
  <c r="G1497" i="18"/>
  <c r="H1497" i="18"/>
  <c r="I1497" i="18"/>
  <c r="E1502" i="18"/>
  <c r="F1502" i="18"/>
  <c r="G1502" i="18"/>
  <c r="H1502" i="18"/>
  <c r="I1502" i="18"/>
  <c r="C1505" i="18"/>
  <c r="C1511" i="18"/>
  <c r="E1512" i="18"/>
  <c r="F1512" i="18"/>
  <c r="G1512" i="18"/>
  <c r="G1513" i="18"/>
  <c r="I1513" i="18"/>
  <c r="E1521" i="18"/>
  <c r="F1521" i="18"/>
  <c r="G1521" i="18"/>
  <c r="H1521" i="18"/>
  <c r="H1512" i="18" s="1"/>
  <c r="I1521" i="18"/>
  <c r="E1525" i="18"/>
  <c r="E1513" i="18" s="1"/>
  <c r="F1525" i="18"/>
  <c r="F1513" i="18" s="1"/>
  <c r="G1525" i="18"/>
  <c r="H1525" i="18"/>
  <c r="H1513" i="18" s="1"/>
  <c r="I1525" i="18"/>
  <c r="C1530" i="18"/>
  <c r="E1534" i="18"/>
  <c r="F1534" i="18"/>
  <c r="G1534" i="18"/>
  <c r="H1534" i="18"/>
  <c r="I1534" i="18"/>
  <c r="E1547" i="18"/>
  <c r="E1549" i="18" s="1"/>
  <c r="F1547" i="18"/>
  <c r="F1549" i="18" s="1"/>
  <c r="G1547" i="18"/>
  <c r="G1549" i="18" s="1"/>
  <c r="H1547" i="18"/>
  <c r="H1549" i="18" s="1"/>
  <c r="I1547" i="18"/>
  <c r="I1549" i="18" s="1"/>
  <c r="C1552" i="18"/>
  <c r="E1557" i="18"/>
  <c r="F1557" i="18"/>
  <c r="G1557" i="18"/>
  <c r="H1557" i="18"/>
  <c r="I1557" i="18"/>
  <c r="E1564" i="18"/>
  <c r="F1564" i="18"/>
  <c r="G1564" i="18"/>
  <c r="H1564" i="18"/>
  <c r="I1564" i="18"/>
  <c r="E1636" i="18"/>
  <c r="F1636" i="18"/>
  <c r="G1636" i="18"/>
  <c r="H1636" i="18"/>
  <c r="H1638" i="18" s="1"/>
  <c r="I1636" i="18"/>
  <c r="I1638" i="18" s="1"/>
  <c r="E1638" i="18"/>
  <c r="F1638" i="18"/>
  <c r="G1638" i="18"/>
  <c r="E1640" i="18"/>
  <c r="F1640" i="18"/>
  <c r="G1640" i="18"/>
  <c r="H1640" i="18"/>
  <c r="I1640" i="18"/>
  <c r="E1650" i="18"/>
  <c r="F1650" i="18"/>
  <c r="G1650" i="18"/>
  <c r="H1650" i="18"/>
  <c r="I1650" i="18"/>
  <c r="E1655" i="18"/>
  <c r="E1657" i="18" s="1"/>
  <c r="F1655" i="18"/>
  <c r="G1655" i="18"/>
  <c r="G1657" i="18" s="1"/>
  <c r="H1655" i="18"/>
  <c r="I1655" i="18"/>
  <c r="F1657" i="18"/>
  <c r="F1670" i="18" s="1"/>
  <c r="H1657" i="18"/>
  <c r="H1659" i="18" s="1"/>
  <c r="I1657" i="18"/>
  <c r="I1659" i="18"/>
  <c r="H1670" i="18"/>
  <c r="E1687" i="18"/>
  <c r="E1692" i="18" s="1"/>
  <c r="F1687" i="18"/>
  <c r="G1687" i="18"/>
  <c r="H1687" i="18"/>
  <c r="I1687" i="18"/>
  <c r="E1690" i="18"/>
  <c r="F1690" i="18"/>
  <c r="G1690" i="18"/>
  <c r="H1690" i="18"/>
  <c r="I1690" i="18"/>
  <c r="F1692" i="18"/>
  <c r="G1692" i="18"/>
  <c r="H1692" i="18"/>
  <c r="I1692" i="18"/>
  <c r="E1717" i="18"/>
  <c r="F1717" i="18"/>
  <c r="E1722" i="18"/>
  <c r="F1722" i="18"/>
  <c r="F1724" i="18" s="1"/>
  <c r="G1722" i="18"/>
  <c r="H1722" i="18"/>
  <c r="I1722" i="18"/>
  <c r="E1723" i="18"/>
  <c r="E1724" i="18" s="1"/>
  <c r="F1723" i="18"/>
  <c r="G1723" i="18"/>
  <c r="G1724" i="18" s="1"/>
  <c r="H1723" i="18"/>
  <c r="I1723" i="18"/>
  <c r="I1724" i="18" s="1"/>
  <c r="H1724" i="18"/>
  <c r="E1731" i="18"/>
  <c r="F1731" i="18"/>
  <c r="G1731" i="18"/>
  <c r="H1731" i="18"/>
  <c r="I1731" i="18"/>
  <c r="C1734" i="18"/>
  <c r="I1735" i="18"/>
  <c r="H1735" i="18" s="1"/>
  <c r="H1736" i="18" s="1"/>
  <c r="E1756" i="18"/>
  <c r="F1756" i="18"/>
  <c r="G1756" i="18"/>
  <c r="H1756" i="18"/>
  <c r="I1756" i="18"/>
  <c r="E1760" i="18"/>
  <c r="E1762" i="18" s="1"/>
  <c r="E1764" i="18" s="1"/>
  <c r="F1760" i="18"/>
  <c r="G1760" i="18"/>
  <c r="H1760" i="18"/>
  <c r="I1760" i="18"/>
  <c r="E1761" i="18"/>
  <c r="F1761" i="18"/>
  <c r="G1761" i="18"/>
  <c r="H1761" i="18"/>
  <c r="I1761" i="18"/>
  <c r="F1762" i="18"/>
  <c r="F1764" i="18" s="1"/>
  <c r="F1766" i="18" s="1"/>
  <c r="G1762" i="18"/>
  <c r="G1764" i="18" s="1"/>
  <c r="H1762" i="18"/>
  <c r="H1764" i="18" s="1"/>
  <c r="H1766" i="18" s="1"/>
  <c r="I1762" i="18"/>
  <c r="E1763" i="18"/>
  <c r="F1763" i="18"/>
  <c r="G1763" i="18"/>
  <c r="H1763" i="18"/>
  <c r="I1763" i="18"/>
  <c r="I1764" i="18"/>
  <c r="I1766" i="18" s="1"/>
  <c r="E1765" i="18"/>
  <c r="F1765" i="18"/>
  <c r="G1765" i="18"/>
  <c r="H1765" i="18"/>
  <c r="I1765" i="18"/>
  <c r="E1808" i="18"/>
  <c r="F1808" i="18"/>
  <c r="G1808" i="18"/>
  <c r="H1808" i="18"/>
  <c r="I1808" i="18"/>
  <c r="G1822" i="18"/>
  <c r="H1822" i="18"/>
  <c r="I1822" i="18"/>
  <c r="F1823" i="18"/>
  <c r="G1823" i="18"/>
  <c r="H1823" i="18"/>
  <c r="I1823" i="18"/>
  <c r="F1831" i="18"/>
  <c r="E1832" i="18"/>
  <c r="E2017" i="18" s="1"/>
  <c r="E816" i="18" s="1"/>
  <c r="F1832" i="18"/>
  <c r="F2017" i="18" s="1"/>
  <c r="F816" i="18" s="1"/>
  <c r="G1832" i="18"/>
  <c r="G2017" i="18" s="1"/>
  <c r="G816" i="18" s="1"/>
  <c r="H1832" i="18"/>
  <c r="I1832" i="18"/>
  <c r="C1836" i="18"/>
  <c r="I1836" i="18"/>
  <c r="I1838" i="18" s="1"/>
  <c r="I2023" i="18" s="1"/>
  <c r="C1837" i="18"/>
  <c r="E1837" i="18"/>
  <c r="F1837" i="18"/>
  <c r="G1837" i="18"/>
  <c r="H1837" i="18"/>
  <c r="I1837" i="18"/>
  <c r="C1838" i="18"/>
  <c r="E1843" i="18"/>
  <c r="F1843" i="18"/>
  <c r="G1843" i="18"/>
  <c r="H1843" i="18"/>
  <c r="I1843" i="18"/>
  <c r="F1845" i="18"/>
  <c r="E1846" i="18"/>
  <c r="F1846" i="18"/>
  <c r="G1846" i="18"/>
  <c r="H1846" i="18"/>
  <c r="I1846" i="18"/>
  <c r="E1848" i="18"/>
  <c r="F1848" i="18"/>
  <c r="G1848" i="18"/>
  <c r="H1848" i="18"/>
  <c r="I1848" i="18"/>
  <c r="E1850" i="18"/>
  <c r="F1850" i="18"/>
  <c r="G1850" i="18"/>
  <c r="H1850" i="18"/>
  <c r="I1850" i="18"/>
  <c r="E1851" i="18"/>
  <c r="F1851" i="18"/>
  <c r="G1851" i="18"/>
  <c r="H1851" i="18"/>
  <c r="H1854" i="18" s="1"/>
  <c r="I1851" i="18"/>
  <c r="I1854" i="18" s="1"/>
  <c r="E1852" i="18"/>
  <c r="F1852" i="18"/>
  <c r="F1854" i="18" s="1"/>
  <c r="G1852" i="18"/>
  <c r="G1854" i="18" s="1"/>
  <c r="H1852" i="18"/>
  <c r="I1852" i="18"/>
  <c r="E1855" i="18"/>
  <c r="F1855" i="18"/>
  <c r="G1855" i="18"/>
  <c r="H1855" i="18"/>
  <c r="I1855" i="18"/>
  <c r="E1857" i="18"/>
  <c r="E1858" i="18"/>
  <c r="E1862" i="18"/>
  <c r="F1862" i="18"/>
  <c r="G1862" i="18"/>
  <c r="H1862" i="18"/>
  <c r="I1862" i="18"/>
  <c r="E1864" i="18"/>
  <c r="F1864" i="18"/>
  <c r="F1865" i="18"/>
  <c r="E1866" i="18"/>
  <c r="H1871" i="18"/>
  <c r="I1871" i="18"/>
  <c r="F1880" i="18"/>
  <c r="G1880" i="18"/>
  <c r="G1872" i="18" s="1"/>
  <c r="G1871" i="18" s="1"/>
  <c r="H1880" i="18"/>
  <c r="H1872" i="18" s="1"/>
  <c r="I1880" i="18"/>
  <c r="I1872" i="18" s="1"/>
  <c r="E1882" i="18"/>
  <c r="F1882" i="18"/>
  <c r="G1882" i="18"/>
  <c r="H1882" i="18"/>
  <c r="E1884" i="18"/>
  <c r="F1884" i="18"/>
  <c r="G1884" i="18"/>
  <c r="H1884" i="18"/>
  <c r="I1884" i="18"/>
  <c r="E1886" i="18"/>
  <c r="F1886" i="18"/>
  <c r="G1886" i="18"/>
  <c r="H1886" i="18"/>
  <c r="I1886" i="18"/>
  <c r="H1910" i="18"/>
  <c r="I1910" i="18"/>
  <c r="E1918" i="18"/>
  <c r="F1918" i="18"/>
  <c r="G1918" i="18"/>
  <c r="H1918" i="18"/>
  <c r="I1918" i="18"/>
  <c r="F1940" i="18"/>
  <c r="F1954" i="18" s="1"/>
  <c r="G1940" i="18"/>
  <c r="G1954" i="18" s="1"/>
  <c r="H1940" i="18"/>
  <c r="H1954" i="18" s="1"/>
  <c r="I1940" i="18"/>
  <c r="I1954" i="18" s="1"/>
  <c r="I1941" i="18"/>
  <c r="G1942" i="18"/>
  <c r="H1942" i="18"/>
  <c r="I1942" i="18"/>
  <c r="G1943" i="18"/>
  <c r="H1943" i="18"/>
  <c r="I1943" i="18"/>
  <c r="G1944" i="18"/>
  <c r="G2014" i="18" s="1"/>
  <c r="H1944" i="18"/>
  <c r="I1944" i="18"/>
  <c r="I2014" i="18" s="1"/>
  <c r="G1945" i="18"/>
  <c r="H1945" i="18"/>
  <c r="I1945" i="18"/>
  <c r="G1946" i="18"/>
  <c r="H1946" i="18"/>
  <c r="I1946" i="18"/>
  <c r="F1947" i="18"/>
  <c r="G1947" i="18"/>
  <c r="H1947" i="18"/>
  <c r="I1947" i="18"/>
  <c r="G1948" i="18"/>
  <c r="H1948" i="18"/>
  <c r="I1948" i="18"/>
  <c r="G1949" i="18"/>
  <c r="H1949" i="18"/>
  <c r="I1949" i="18"/>
  <c r="G1950" i="18"/>
  <c r="H1950" i="18"/>
  <c r="I1950" i="18"/>
  <c r="G1951" i="18"/>
  <c r="H1951" i="18"/>
  <c r="I1951" i="18"/>
  <c r="G1953" i="18"/>
  <c r="H1953" i="18"/>
  <c r="I1953" i="18"/>
  <c r="E1954" i="18"/>
  <c r="E1955" i="18"/>
  <c r="F1958" i="18"/>
  <c r="F1959" i="18"/>
  <c r="G1972" i="18"/>
  <c r="H1972" i="18"/>
  <c r="I1972" i="18"/>
  <c r="F1973" i="18"/>
  <c r="G1973" i="18"/>
  <c r="H1973" i="18"/>
  <c r="I1973" i="18"/>
  <c r="E1984" i="18"/>
  <c r="F1984" i="18"/>
  <c r="G1984" i="18"/>
  <c r="H1984" i="18"/>
  <c r="I1984" i="18"/>
  <c r="E1986" i="18"/>
  <c r="F1986" i="18"/>
  <c r="G1986" i="18"/>
  <c r="H1986" i="18"/>
  <c r="I1986" i="18"/>
  <c r="E1988" i="18"/>
  <c r="E1824" i="18" s="1"/>
  <c r="F1988" i="18"/>
  <c r="F1824" i="18" s="1"/>
  <c r="G1988" i="18"/>
  <c r="G1824" i="18" s="1"/>
  <c r="H1988" i="18"/>
  <c r="H1824" i="18" s="1"/>
  <c r="I1988" i="18"/>
  <c r="I1824" i="18" s="1"/>
  <c r="C1995" i="18"/>
  <c r="E1995" i="18"/>
  <c r="F1995" i="18"/>
  <c r="G1995" i="18"/>
  <c r="H1995" i="18"/>
  <c r="I1995" i="18"/>
  <c r="C1996" i="18"/>
  <c r="E1996" i="18"/>
  <c r="F1996" i="18"/>
  <c r="G1996" i="18"/>
  <c r="H1996" i="18"/>
  <c r="E1997" i="18"/>
  <c r="F1997" i="18"/>
  <c r="G1997" i="18"/>
  <c r="H1997" i="18"/>
  <c r="I1997" i="18"/>
  <c r="E1998" i="18"/>
  <c r="F1998" i="18"/>
  <c r="F774" i="18" s="1"/>
  <c r="G1998" i="18"/>
  <c r="H1998" i="18"/>
  <c r="I1998" i="18"/>
  <c r="I2038" i="18" s="1"/>
  <c r="E1999" i="18"/>
  <c r="E2002" i="18" s="1"/>
  <c r="F1999" i="18"/>
  <c r="G1999" i="18"/>
  <c r="I1999" i="18"/>
  <c r="E2000" i="18"/>
  <c r="F2000" i="18"/>
  <c r="F2002" i="18" s="1"/>
  <c r="G2000" i="18"/>
  <c r="I2000" i="18"/>
  <c r="I2002" i="18" s="1"/>
  <c r="E2001" i="18"/>
  <c r="F2001" i="18"/>
  <c r="H2002" i="18"/>
  <c r="C2004" i="18"/>
  <c r="E2004" i="18"/>
  <c r="F2004" i="18"/>
  <c r="G2004" i="18"/>
  <c r="G2010" i="18" s="1"/>
  <c r="H2004" i="18"/>
  <c r="I2004" i="18"/>
  <c r="E2005" i="18"/>
  <c r="F2005" i="18"/>
  <c r="G2005" i="18"/>
  <c r="H2005" i="18"/>
  <c r="I2005" i="18"/>
  <c r="E2006" i="18"/>
  <c r="E775" i="18" s="1"/>
  <c r="F2006" i="18"/>
  <c r="F775" i="18" s="1"/>
  <c r="G2006" i="18"/>
  <c r="G775" i="18" s="1"/>
  <c r="G1491" i="18" s="1"/>
  <c r="L1486" i="18" s="1"/>
  <c r="L1487" i="18" s="1"/>
  <c r="M1487" i="18" s="1"/>
  <c r="G796" i="18" s="1"/>
  <c r="H2006" i="18"/>
  <c r="I2006" i="18"/>
  <c r="C2007" i="18"/>
  <c r="E2007" i="18"/>
  <c r="F2007" i="18"/>
  <c r="G2007" i="18"/>
  <c r="H2007" i="18"/>
  <c r="I2007" i="18"/>
  <c r="G2009" i="18"/>
  <c r="I2009" i="18"/>
  <c r="C2014" i="18"/>
  <c r="E2014" i="18"/>
  <c r="F2014" i="18"/>
  <c r="H2014" i="18"/>
  <c r="C2016" i="18"/>
  <c r="E2016" i="18"/>
  <c r="C2017" i="18"/>
  <c r="H2017" i="18"/>
  <c r="H816" i="18" s="1"/>
  <c r="I2017" i="18"/>
  <c r="C2018" i="18"/>
  <c r="C2020" i="18"/>
  <c r="C2021" i="18"/>
  <c r="C2022" i="18"/>
  <c r="E2022" i="18"/>
  <c r="F2022" i="18"/>
  <c r="G2022" i="18"/>
  <c r="H2022" i="18"/>
  <c r="I2022" i="18"/>
  <c r="C2025" i="18"/>
  <c r="C2027" i="18"/>
  <c r="E2027" i="18"/>
  <c r="F2027" i="18"/>
  <c r="G2027" i="18"/>
  <c r="H2027" i="18"/>
  <c r="I2027" i="18"/>
  <c r="C2029" i="18"/>
  <c r="I2030" i="18"/>
  <c r="F2036" i="18"/>
  <c r="F815" i="18" s="1"/>
  <c r="E2051" i="18"/>
  <c r="E2053" i="18" s="1"/>
  <c r="F2051" i="18"/>
  <c r="F2053" i="18" s="1"/>
  <c r="G2051" i="18"/>
  <c r="G2053" i="18" s="1"/>
  <c r="H2051" i="18"/>
  <c r="H2053" i="18" s="1"/>
  <c r="I2051" i="18"/>
  <c r="I2053" i="18"/>
  <c r="E2059" i="18"/>
  <c r="F2059" i="18"/>
  <c r="G2059" i="18"/>
  <c r="H2059" i="18"/>
  <c r="I2059" i="18"/>
  <c r="E2064" i="18"/>
  <c r="E2066" i="18" s="1"/>
  <c r="F2064" i="18"/>
  <c r="G2064" i="18"/>
  <c r="H2064" i="18"/>
  <c r="I2064" i="18"/>
  <c r="F2066" i="18"/>
  <c r="G2066" i="18"/>
  <c r="H2066" i="18"/>
  <c r="I2066" i="18"/>
  <c r="E2068" i="18"/>
  <c r="F2068" i="18"/>
  <c r="G2068" i="18"/>
  <c r="H2068" i="18"/>
  <c r="I2068" i="18"/>
  <c r="E2086" i="18"/>
  <c r="F2086" i="18"/>
  <c r="G2086" i="18"/>
  <c r="H2086" i="18"/>
  <c r="I2086" i="18"/>
  <c r="E2092" i="18"/>
  <c r="F2092" i="18"/>
  <c r="F2028" i="18" s="1"/>
  <c r="G2092" i="18"/>
  <c r="G2028" i="18" s="1"/>
  <c r="H2092" i="18"/>
  <c r="H2028" i="18" s="1"/>
  <c r="I2092" i="18"/>
  <c r="I2028" i="18" s="1"/>
  <c r="E2098" i="18"/>
  <c r="F2098" i="18"/>
  <c r="G2098" i="18"/>
  <c r="H2098" i="18"/>
  <c r="I2098" i="18"/>
  <c r="E2104" i="18"/>
  <c r="E2029" i="18" s="1"/>
  <c r="F2104" i="18"/>
  <c r="G2104" i="18"/>
  <c r="H2104" i="18"/>
  <c r="I2104" i="18"/>
  <c r="E2106" i="18"/>
  <c r="F2109" i="18"/>
  <c r="F2113" i="18" s="1"/>
  <c r="F2115" i="18" s="1"/>
  <c r="G2109" i="18"/>
  <c r="H2109" i="18"/>
  <c r="I2109" i="18"/>
  <c r="C2110" i="18"/>
  <c r="E2110" i="18"/>
  <c r="F2110" i="18"/>
  <c r="G2110" i="18"/>
  <c r="H2110" i="18"/>
  <c r="I2110" i="18"/>
  <c r="G2113" i="18"/>
  <c r="G2115" i="18" s="1"/>
  <c r="I2116" i="18" s="1"/>
  <c r="H2113" i="18"/>
  <c r="H2115" i="18" s="1"/>
  <c r="I2113" i="18"/>
  <c r="I2115" i="18" s="1"/>
  <c r="E2114" i="18"/>
  <c r="F2114" i="18"/>
  <c r="G2114" i="18"/>
  <c r="H2114" i="18"/>
  <c r="I2114" i="18"/>
  <c r="E2142" i="18"/>
  <c r="F2142" i="18"/>
  <c r="G2142" i="18"/>
  <c r="H2142" i="18"/>
  <c r="H2215" i="18" s="1"/>
  <c r="H2217" i="18" s="1"/>
  <c r="I2142" i="18"/>
  <c r="E2151" i="18"/>
  <c r="F2151" i="18"/>
  <c r="G2151" i="18"/>
  <c r="H2151" i="18"/>
  <c r="I2151" i="18"/>
  <c r="I2153" i="18" s="1"/>
  <c r="E2153" i="18"/>
  <c r="F2153" i="18"/>
  <c r="G2153" i="18"/>
  <c r="H2153" i="18"/>
  <c r="E2161" i="18"/>
  <c r="E1845" i="18" s="1"/>
  <c r="F2161" i="18"/>
  <c r="G2161" i="18"/>
  <c r="G1845" i="18" s="1"/>
  <c r="H2161" i="18"/>
  <c r="H1845" i="18" s="1"/>
  <c r="I2161" i="18"/>
  <c r="I1845" i="18" s="1"/>
  <c r="E2163" i="18"/>
  <c r="F2163" i="18"/>
  <c r="F2164" i="18" s="1"/>
  <c r="F2166" i="18" s="1"/>
  <c r="G2163" i="18"/>
  <c r="H2163" i="18"/>
  <c r="H2165" i="18" s="1"/>
  <c r="I2163" i="18"/>
  <c r="E2164" i="18"/>
  <c r="E2166" i="18" s="1"/>
  <c r="G2164" i="18"/>
  <c r="I2164" i="18"/>
  <c r="G2165" i="18"/>
  <c r="I2165" i="18"/>
  <c r="G2166" i="18"/>
  <c r="H2166" i="18"/>
  <c r="I2166" i="18"/>
  <c r="E2174" i="18"/>
  <c r="F2174" i="18"/>
  <c r="G2174" i="18"/>
  <c r="H2174" i="18"/>
  <c r="I2174" i="18"/>
  <c r="F2177" i="18"/>
  <c r="G2177" i="18"/>
  <c r="H2177" i="18"/>
  <c r="I2177" i="18"/>
  <c r="E2180" i="18"/>
  <c r="E1826" i="18" s="1"/>
  <c r="F2180" i="18"/>
  <c r="F1826" i="18" s="1"/>
  <c r="G2180" i="18"/>
  <c r="G1826" i="18" s="1"/>
  <c r="G1827" i="18" s="1"/>
  <c r="E2184" i="18"/>
  <c r="F2184" i="18"/>
  <c r="G2184" i="18"/>
  <c r="G1717" i="18" s="1"/>
  <c r="H2184" i="18"/>
  <c r="H1717" i="18" s="1"/>
  <c r="I2184" i="18"/>
  <c r="I1717" i="18" s="1"/>
  <c r="E2187" i="18"/>
  <c r="F2187" i="18"/>
  <c r="I2187" i="18"/>
  <c r="C2188" i="18"/>
  <c r="E2188" i="18"/>
  <c r="E1831" i="18" s="1"/>
  <c r="E1833" i="18" s="1"/>
  <c r="E2018" i="18" s="1"/>
  <c r="F2188" i="18"/>
  <c r="G2188" i="18"/>
  <c r="G1831" i="18" s="1"/>
  <c r="H2188" i="18"/>
  <c r="I2188" i="18"/>
  <c r="E2194" i="18"/>
  <c r="F2194" i="18"/>
  <c r="F2197" i="18" s="1"/>
  <c r="G2194" i="18"/>
  <c r="G2197" i="18" s="1"/>
  <c r="H2194" i="18"/>
  <c r="H2197" i="18" s="1"/>
  <c r="I2194" i="18"/>
  <c r="I2197" i="18" s="1"/>
  <c r="E2197" i="18"/>
  <c r="E2204" i="18"/>
  <c r="F2204" i="18"/>
  <c r="G2204" i="18"/>
  <c r="H2204" i="18"/>
  <c r="I2204" i="18"/>
  <c r="E2209" i="18"/>
  <c r="I2215" i="18"/>
  <c r="E2216" i="18"/>
  <c r="F2216" i="18"/>
  <c r="G2216" i="18"/>
  <c r="H2216" i="18"/>
  <c r="I2216" i="18"/>
  <c r="I2217" i="18"/>
  <c r="E2219" i="18"/>
  <c r="F2219" i="18"/>
  <c r="G2219" i="18"/>
  <c r="H2219" i="18"/>
  <c r="I2219" i="18"/>
  <c r="E2221" i="18"/>
  <c r="F2221" i="18"/>
  <c r="G2221" i="18"/>
  <c r="H2221" i="18"/>
  <c r="I2221" i="18"/>
  <c r="C2250" i="18"/>
  <c r="E2250" i="18"/>
  <c r="F2250" i="18"/>
  <c r="G2250" i="18"/>
  <c r="H2250" i="18"/>
  <c r="I2250" i="18"/>
  <c r="C2251" i="18"/>
  <c r="E2251" i="18"/>
  <c r="F2251" i="18"/>
  <c r="G2251" i="18"/>
  <c r="H2251" i="18"/>
  <c r="I2251" i="18"/>
  <c r="C2252" i="18"/>
  <c r="D2252" i="18"/>
  <c r="E2252" i="18"/>
  <c r="F2252" i="18"/>
  <c r="G2252" i="18"/>
  <c r="H2252" i="18"/>
  <c r="I2252" i="18"/>
  <c r="C2255" i="18"/>
  <c r="G2255" i="18"/>
  <c r="H2255" i="18"/>
  <c r="I2255" i="18"/>
  <c r="C2256" i="18"/>
  <c r="E2256" i="18"/>
  <c r="F2256" i="18"/>
  <c r="G2256" i="18"/>
  <c r="H2256" i="18"/>
  <c r="I2256" i="18"/>
  <c r="C2257" i="18"/>
  <c r="G2257" i="18"/>
  <c r="G2367" i="18" s="1"/>
  <c r="H2257" i="18"/>
  <c r="H2367" i="18" s="1"/>
  <c r="I2257" i="18"/>
  <c r="C2258" i="18"/>
  <c r="E2258" i="18"/>
  <c r="E2455" i="18" s="1"/>
  <c r="G2258" i="18"/>
  <c r="H2258" i="18"/>
  <c r="I2258" i="18"/>
  <c r="C2263" i="18"/>
  <c r="E2263" i="18"/>
  <c r="F2263" i="18"/>
  <c r="G2263" i="18"/>
  <c r="H2263" i="18"/>
  <c r="I2263" i="18"/>
  <c r="B2265" i="18"/>
  <c r="C2266" i="18"/>
  <c r="E2266" i="18"/>
  <c r="I2266" i="18"/>
  <c r="C2267" i="18"/>
  <c r="E2267" i="18"/>
  <c r="F2267" i="18"/>
  <c r="G2267" i="18"/>
  <c r="H2267" i="18"/>
  <c r="I2267" i="18"/>
  <c r="I2269" i="18" s="1"/>
  <c r="C2268" i="18"/>
  <c r="E2268" i="18"/>
  <c r="E2269" i="18" s="1"/>
  <c r="I2268" i="18"/>
  <c r="F2269" i="18"/>
  <c r="G2269" i="18"/>
  <c r="H2269" i="18"/>
  <c r="C2272" i="18"/>
  <c r="E2272" i="18"/>
  <c r="F2272" i="18"/>
  <c r="G2272" i="18"/>
  <c r="H2272" i="18"/>
  <c r="I2272" i="18"/>
  <c r="C2273" i="18"/>
  <c r="E2273" i="18"/>
  <c r="E2386" i="18" s="1"/>
  <c r="F2273" i="18"/>
  <c r="F2386" i="18" s="1"/>
  <c r="G2273" i="18"/>
  <c r="G2386" i="18" s="1"/>
  <c r="H2273" i="18"/>
  <c r="I2273" i="18"/>
  <c r="C2274" i="18"/>
  <c r="E2274" i="18"/>
  <c r="E2349" i="18" s="1"/>
  <c r="F2274" i="18"/>
  <c r="F2349" i="18" s="1"/>
  <c r="G2274" i="18"/>
  <c r="H2274" i="18"/>
  <c r="I2274" i="18"/>
  <c r="C2275" i="18"/>
  <c r="E2275" i="18"/>
  <c r="F2275" i="18"/>
  <c r="F2278" i="18" s="1"/>
  <c r="G2275" i="18"/>
  <c r="G2278" i="18" s="1"/>
  <c r="H2275" i="18"/>
  <c r="I2275" i="18"/>
  <c r="C2276" i="18"/>
  <c r="E2276" i="18"/>
  <c r="F2276" i="18"/>
  <c r="G2276" i="18"/>
  <c r="H2276" i="18"/>
  <c r="I2276" i="18"/>
  <c r="C2277" i="18"/>
  <c r="E2277" i="18"/>
  <c r="F2277" i="18"/>
  <c r="G2277" i="18"/>
  <c r="H2277" i="18"/>
  <c r="I2277" i="18"/>
  <c r="C2282" i="18"/>
  <c r="F2282" i="18"/>
  <c r="G2282" i="18"/>
  <c r="H2282" i="18"/>
  <c r="I2282" i="18"/>
  <c r="C2283" i="18"/>
  <c r="E2283" i="18"/>
  <c r="F2283" i="18"/>
  <c r="G2283" i="18"/>
  <c r="H2283" i="18"/>
  <c r="I2283" i="18"/>
  <c r="C2284" i="18"/>
  <c r="E2284" i="18"/>
  <c r="F2284" i="18"/>
  <c r="G2284" i="18"/>
  <c r="H2284" i="18"/>
  <c r="I2284" i="18"/>
  <c r="C2285" i="18"/>
  <c r="E2285" i="18"/>
  <c r="F2285" i="18"/>
  <c r="G2285" i="18"/>
  <c r="H2285" i="18"/>
  <c r="I2285" i="18"/>
  <c r="C2286" i="18"/>
  <c r="E2286" i="18"/>
  <c r="F2286" i="18"/>
  <c r="G2286" i="18"/>
  <c r="H2286" i="18"/>
  <c r="I2286" i="18"/>
  <c r="C2288" i="18"/>
  <c r="E2288" i="18"/>
  <c r="F2288" i="18"/>
  <c r="G2288" i="18"/>
  <c r="H2288" i="18"/>
  <c r="I2288" i="18"/>
  <c r="C2290" i="18"/>
  <c r="E2290" i="18"/>
  <c r="F2290" i="18"/>
  <c r="G2290" i="18"/>
  <c r="H2290" i="18"/>
  <c r="I2290" i="18"/>
  <c r="C2291" i="18"/>
  <c r="E2291" i="18"/>
  <c r="F2291" i="18"/>
  <c r="G2291" i="18"/>
  <c r="H2291" i="18"/>
  <c r="I2291" i="18"/>
  <c r="C2292" i="18"/>
  <c r="E2292" i="18"/>
  <c r="F2292" i="18"/>
  <c r="G2292" i="18"/>
  <c r="H2292" i="18"/>
  <c r="I2292" i="18"/>
  <c r="C2293" i="18"/>
  <c r="E2293" i="18"/>
  <c r="F2293" i="18"/>
  <c r="G2293" i="18"/>
  <c r="H2293" i="18"/>
  <c r="I2293" i="18"/>
  <c r="C2294" i="18"/>
  <c r="E2294" i="18"/>
  <c r="F2294" i="18"/>
  <c r="G2294" i="18"/>
  <c r="H2294" i="18"/>
  <c r="I2294" i="18"/>
  <c r="C2295" i="18"/>
  <c r="E2295" i="18"/>
  <c r="F2295" i="18"/>
  <c r="G2295" i="18"/>
  <c r="H2295" i="18"/>
  <c r="I2295" i="18"/>
  <c r="C2297" i="18"/>
  <c r="E2297" i="18"/>
  <c r="F2297" i="18"/>
  <c r="G2297" i="18"/>
  <c r="H2297" i="18"/>
  <c r="I2297" i="18"/>
  <c r="C2300" i="18"/>
  <c r="E2300" i="18"/>
  <c r="F2300" i="18"/>
  <c r="G2300" i="18"/>
  <c r="H2300" i="18"/>
  <c r="I2300" i="18"/>
  <c r="C2301" i="18"/>
  <c r="E2301" i="18"/>
  <c r="F2301" i="18"/>
  <c r="G2301" i="18"/>
  <c r="H2301" i="18"/>
  <c r="I2301" i="18"/>
  <c r="C2302" i="18"/>
  <c r="E2302" i="18"/>
  <c r="F2302" i="18"/>
  <c r="G2302" i="18"/>
  <c r="H2302" i="18"/>
  <c r="I2302" i="18"/>
  <c r="C2304" i="18"/>
  <c r="E2304" i="18"/>
  <c r="F2304" i="18"/>
  <c r="G2304" i="18"/>
  <c r="H2304" i="18"/>
  <c r="I2304" i="18"/>
  <c r="C2305" i="18"/>
  <c r="E2305" i="18"/>
  <c r="F2305" i="18"/>
  <c r="G2305" i="18"/>
  <c r="H2305" i="18"/>
  <c r="I2305" i="18"/>
  <c r="C2306" i="18"/>
  <c r="E2306" i="18"/>
  <c r="F2306" i="18"/>
  <c r="G2306" i="18"/>
  <c r="H2306" i="18"/>
  <c r="H2387" i="18" s="1"/>
  <c r="I2306" i="18"/>
  <c r="I2387" i="18" s="1"/>
  <c r="C2307" i="18"/>
  <c r="E2307" i="18"/>
  <c r="F2307" i="18"/>
  <c r="G2307" i="18"/>
  <c r="H2307" i="18"/>
  <c r="I2307" i="18"/>
  <c r="C2310" i="18"/>
  <c r="E2310" i="18"/>
  <c r="F2310" i="18"/>
  <c r="G2310" i="18"/>
  <c r="H2310" i="18"/>
  <c r="I2310" i="18"/>
  <c r="C2311" i="18"/>
  <c r="C2412" i="18" s="1"/>
  <c r="E2311" i="18"/>
  <c r="F2311" i="18"/>
  <c r="C2312" i="18"/>
  <c r="G2312" i="18"/>
  <c r="H2312" i="18"/>
  <c r="H2430" i="18" s="1"/>
  <c r="I2312" i="18"/>
  <c r="C2313" i="18"/>
  <c r="E2313" i="18"/>
  <c r="E2362" i="18" s="1"/>
  <c r="F2313" i="18"/>
  <c r="G2313" i="18"/>
  <c r="G2362" i="18" s="1"/>
  <c r="H2313" i="18"/>
  <c r="I2313" i="18"/>
  <c r="C2314" i="18"/>
  <c r="C2378" i="18" s="1"/>
  <c r="E2314" i="18"/>
  <c r="F2314" i="18"/>
  <c r="F2434" i="18" s="1"/>
  <c r="G2314" i="18"/>
  <c r="H2314" i="18"/>
  <c r="I2314" i="18"/>
  <c r="I2434" i="18" s="1"/>
  <c r="C2315" i="18"/>
  <c r="C2379" i="18" s="1"/>
  <c r="E2315" i="18"/>
  <c r="F2315" i="18"/>
  <c r="F2436" i="18" s="1"/>
  <c r="G2315" i="18"/>
  <c r="H2315" i="18"/>
  <c r="I2315" i="18"/>
  <c r="C2316" i="18"/>
  <c r="C2321" i="18"/>
  <c r="E2321" i="18"/>
  <c r="F2321" i="18"/>
  <c r="G2321" i="18"/>
  <c r="H2321" i="18"/>
  <c r="I2321" i="18"/>
  <c r="C2322" i="18"/>
  <c r="E2322" i="18"/>
  <c r="F2322" i="18"/>
  <c r="G2322" i="18"/>
  <c r="H2322" i="18"/>
  <c r="I2322" i="18"/>
  <c r="C2323" i="18"/>
  <c r="E2323" i="18"/>
  <c r="F2323" i="18"/>
  <c r="G2323" i="18"/>
  <c r="H2323" i="18"/>
  <c r="C2325" i="18"/>
  <c r="E2325" i="18"/>
  <c r="F2325" i="18"/>
  <c r="G2325" i="18"/>
  <c r="H2325" i="18"/>
  <c r="I2325" i="18"/>
  <c r="C2326" i="18"/>
  <c r="E2326" i="18"/>
  <c r="F2326" i="18"/>
  <c r="G2326" i="18"/>
  <c r="H2326" i="18"/>
  <c r="I2326" i="18"/>
  <c r="C2327" i="18"/>
  <c r="E2327" i="18"/>
  <c r="F2327" i="18"/>
  <c r="G2327" i="18"/>
  <c r="H2327" i="18"/>
  <c r="I2327" i="18"/>
  <c r="C2330" i="18"/>
  <c r="F2330" i="18"/>
  <c r="G2330" i="18"/>
  <c r="H2330" i="18"/>
  <c r="I2330" i="18"/>
  <c r="C2331" i="18"/>
  <c r="F2331" i="18"/>
  <c r="G2331" i="18"/>
  <c r="H2331" i="18"/>
  <c r="I2331" i="18"/>
  <c r="C2332" i="18"/>
  <c r="F2332" i="18"/>
  <c r="G2332" i="18"/>
  <c r="H2332" i="18"/>
  <c r="I2332" i="18"/>
  <c r="I2342" i="18"/>
  <c r="I2344" i="18"/>
  <c r="G2346" i="18"/>
  <c r="H2346" i="18"/>
  <c r="C2349" i="18"/>
  <c r="C2395" i="18" s="1"/>
  <c r="G2349" i="18"/>
  <c r="G2350" i="18" s="1"/>
  <c r="H2349" i="18"/>
  <c r="H2350" i="18" s="1"/>
  <c r="I2349" i="18"/>
  <c r="F2350" i="18"/>
  <c r="C2361" i="18"/>
  <c r="G2361" i="18"/>
  <c r="G2363" i="18" s="1"/>
  <c r="H2361" i="18"/>
  <c r="H2363" i="18" s="1"/>
  <c r="H2362" i="18"/>
  <c r="I2362" i="18"/>
  <c r="C2366" i="18"/>
  <c r="C2367" i="18"/>
  <c r="C2375" i="18"/>
  <c r="J2375" i="18"/>
  <c r="C2376" i="18"/>
  <c r="C2380" i="18"/>
  <c r="F2383" i="18"/>
  <c r="G2383" i="18"/>
  <c r="G2384" i="18"/>
  <c r="C2386" i="18"/>
  <c r="C2424" i="18" s="1"/>
  <c r="H2386" i="18"/>
  <c r="H2424" i="18" s="1"/>
  <c r="I2386" i="18"/>
  <c r="I2424" i="18" s="1"/>
  <c r="C2387" i="18"/>
  <c r="J2387" i="18"/>
  <c r="E2388" i="18"/>
  <c r="F2388" i="18"/>
  <c r="F2389" i="18" s="1"/>
  <c r="G2388" i="18"/>
  <c r="G2389" i="18"/>
  <c r="E2395" i="18"/>
  <c r="F2395" i="18"/>
  <c r="G2395" i="18"/>
  <c r="H2395" i="18"/>
  <c r="F2399" i="18"/>
  <c r="F2398" i="18" s="1"/>
  <c r="E2412" i="18"/>
  <c r="E2415" i="18" s="1"/>
  <c r="F2412" i="18"/>
  <c r="F2415" i="18" s="1"/>
  <c r="C2414" i="18"/>
  <c r="H2414" i="18"/>
  <c r="H2388" i="18" s="1"/>
  <c r="I2414" i="18"/>
  <c r="I2417" i="18"/>
  <c r="G2424" i="18"/>
  <c r="N2427" i="18"/>
  <c r="C2430" i="18"/>
  <c r="G2430" i="18"/>
  <c r="C2432" i="18"/>
  <c r="E2432" i="18"/>
  <c r="G2432" i="18"/>
  <c r="H2432" i="18"/>
  <c r="I2432" i="18"/>
  <c r="C2434" i="18"/>
  <c r="E2434" i="18"/>
  <c r="G2434" i="18"/>
  <c r="G2438" i="18" s="1"/>
  <c r="H2434" i="18"/>
  <c r="C2436" i="18"/>
  <c r="E2436" i="18"/>
  <c r="G2436" i="18"/>
  <c r="H2436" i="18"/>
  <c r="I2436" i="18"/>
  <c r="C2438" i="18"/>
  <c r="C2446" i="18"/>
  <c r="C2450" i="18"/>
  <c r="E2450" i="18"/>
  <c r="F2450" i="18"/>
  <c r="G2455" i="18"/>
  <c r="H2455" i="18"/>
  <c r="I2455" i="18"/>
  <c r="H2464" i="18"/>
  <c r="H2465" i="18" s="1"/>
  <c r="I2464" i="18"/>
  <c r="I2465" i="18" s="1"/>
  <c r="E2465" i="18"/>
  <c r="F2465" i="18"/>
  <c r="G2465" i="18"/>
  <c r="C2470" i="18"/>
  <c r="C2471" i="18"/>
  <c r="E2471" i="18"/>
  <c r="F2471" i="18"/>
  <c r="G2471" i="18"/>
  <c r="H2471" i="18"/>
  <c r="I2471" i="18"/>
  <c r="C2472" i="18"/>
  <c r="C2474" i="18"/>
  <c r="E2474" i="18"/>
  <c r="J2474" i="18" s="1"/>
  <c r="F2474" i="18"/>
  <c r="G2474" i="18"/>
  <c r="H2474" i="18"/>
  <c r="I2474" i="18"/>
  <c r="C2475" i="18"/>
  <c r="C2476" i="18"/>
  <c r="J2476" i="18"/>
  <c r="K2476" i="18"/>
  <c r="L2476" i="18"/>
  <c r="M2476" i="18"/>
  <c r="N2476" i="18"/>
  <c r="C2481" i="18"/>
  <c r="J2484" i="18"/>
  <c r="J2486" i="18"/>
  <c r="K2486" i="18"/>
  <c r="L2486" i="18"/>
  <c r="L2502" i="18" s="1"/>
  <c r="M2486" i="18"/>
  <c r="M2502" i="18" s="1"/>
  <c r="N2486" i="18"/>
  <c r="N2502" i="18" s="1"/>
  <c r="E2487" i="18"/>
  <c r="E2488" i="18" s="1"/>
  <c r="F2487" i="18"/>
  <c r="F2488" i="18" s="1"/>
  <c r="G2487" i="18"/>
  <c r="G2488" i="18" s="1"/>
  <c r="H2487" i="18"/>
  <c r="I2487" i="18"/>
  <c r="H2488" i="18"/>
  <c r="I2488" i="18"/>
  <c r="J2488" i="18"/>
  <c r="C2496" i="18"/>
  <c r="C2497" i="18"/>
  <c r="E2497" i="18"/>
  <c r="J2497" i="18" s="1"/>
  <c r="F2497" i="18"/>
  <c r="G2497" i="18"/>
  <c r="H2497" i="18"/>
  <c r="I2497" i="18"/>
  <c r="C2498" i="18"/>
  <c r="E2498" i="18"/>
  <c r="J2498" i="18" s="1"/>
  <c r="F2498" i="18"/>
  <c r="G2498" i="18"/>
  <c r="H2498" i="18"/>
  <c r="I2498" i="18"/>
  <c r="C2499" i="18"/>
  <c r="C2500" i="18"/>
  <c r="C2502" i="18"/>
  <c r="J2502" i="18"/>
  <c r="K2502" i="18"/>
  <c r="C2505" i="18"/>
  <c r="E2505" i="18"/>
  <c r="F2505" i="18"/>
  <c r="G2505" i="18"/>
  <c r="H2505" i="18"/>
  <c r="I2505" i="18"/>
  <c r="C2506" i="18"/>
  <c r="E2506" i="18"/>
  <c r="F2506" i="18"/>
  <c r="G2506" i="18"/>
  <c r="H2506" i="18"/>
  <c r="I2506" i="18"/>
  <c r="J2513" i="18"/>
  <c r="L2513" i="18"/>
  <c r="F2517" i="18"/>
  <c r="G2517" i="18"/>
  <c r="H2517" i="18"/>
  <c r="I2517" i="18"/>
  <c r="J2517" i="18"/>
  <c r="E2527" i="18"/>
  <c r="F2527" i="18"/>
  <c r="G2527" i="18"/>
  <c r="G2529" i="18" s="1"/>
  <c r="H2527" i="18"/>
  <c r="H2529" i="18" s="1"/>
  <c r="I2527" i="18"/>
  <c r="F2528" i="18"/>
  <c r="G2528" i="18"/>
  <c r="J2532" i="18"/>
  <c r="E2534" i="18"/>
  <c r="F2534" i="18"/>
  <c r="F2535" i="18" s="1"/>
  <c r="G2534" i="18"/>
  <c r="G2535" i="18" s="1"/>
  <c r="H2534" i="18"/>
  <c r="I2534" i="18"/>
  <c r="H2535" i="18"/>
  <c r="I2535" i="18"/>
  <c r="E2536" i="18"/>
  <c r="F2536" i="18"/>
  <c r="G2536" i="18"/>
  <c r="H2536" i="18"/>
  <c r="I2536" i="18"/>
  <c r="E2538" i="18"/>
  <c r="F2538" i="18"/>
  <c r="G2538" i="18"/>
  <c r="C2542" i="18"/>
  <c r="F2542" i="18"/>
  <c r="G2542" i="18"/>
  <c r="H2542" i="18"/>
  <c r="I2542" i="18"/>
  <c r="C2543" i="18"/>
  <c r="E2543" i="18"/>
  <c r="F2543" i="18"/>
  <c r="G2543" i="18"/>
  <c r="H2543" i="18"/>
  <c r="I2543" i="18"/>
  <c r="C2545" i="18"/>
  <c r="E2545" i="18"/>
  <c r="F2545" i="18"/>
  <c r="G2545" i="18"/>
  <c r="H2545" i="18"/>
  <c r="I2545" i="18"/>
  <c r="C2546" i="18"/>
  <c r="E2546" i="18"/>
  <c r="F2546" i="18"/>
  <c r="G2546" i="18"/>
  <c r="H2546" i="18"/>
  <c r="I2546" i="18"/>
  <c r="C2550" i="18"/>
  <c r="E2550" i="18"/>
  <c r="F2550" i="18"/>
  <c r="F2570" i="18" s="1"/>
  <c r="F2578" i="18" s="1"/>
  <c r="G2550" i="18"/>
  <c r="H2550" i="18"/>
  <c r="H2570" i="18" s="1"/>
  <c r="I2578" i="18" s="1"/>
  <c r="I2550" i="18"/>
  <c r="F2552" i="18"/>
  <c r="G2552" i="18"/>
  <c r="F2569" i="18"/>
  <c r="E2570" i="18"/>
  <c r="E2576" i="18" s="1"/>
  <c r="K2576" i="18" s="1"/>
  <c r="K2572" i="18" s="1"/>
  <c r="G2570" i="18"/>
  <c r="I2570" i="18"/>
  <c r="E2572" i="18"/>
  <c r="F2572" i="18"/>
  <c r="G2572" i="18"/>
  <c r="G2577" i="18" s="1"/>
  <c r="H2572" i="18"/>
  <c r="H2577" i="18" s="1"/>
  <c r="I2572" i="18"/>
  <c r="J2577" i="18" s="1"/>
  <c r="E2573" i="18"/>
  <c r="F2573" i="18"/>
  <c r="G2573" i="18"/>
  <c r="H2573" i="18"/>
  <c r="I2573" i="18"/>
  <c r="F2576" i="18"/>
  <c r="G2576" i="18"/>
  <c r="H2576" i="18"/>
  <c r="I2576" i="18"/>
  <c r="J2576" i="18"/>
  <c r="F2577" i="18"/>
  <c r="G2578" i="18"/>
  <c r="J2578" i="18"/>
  <c r="K2578" i="18"/>
  <c r="L2578" i="18"/>
  <c r="M2578" i="18"/>
  <c r="N2578" i="18"/>
  <c r="J2581" i="18"/>
  <c r="J2584" i="18"/>
  <c r="J2587" i="18" s="1"/>
  <c r="K2584" i="18"/>
  <c r="L2584" i="18"/>
  <c r="E2600" i="18"/>
  <c r="F2600" i="18"/>
  <c r="G2600" i="18"/>
  <c r="H2600" i="18"/>
  <c r="I2600" i="18"/>
  <c r="E2603" i="18"/>
  <c r="F2603" i="18"/>
  <c r="E2604" i="18"/>
  <c r="F2604" i="18"/>
  <c r="F2611" i="18"/>
  <c r="G2611" i="18"/>
  <c r="H2611" i="18"/>
  <c r="I2611" i="18"/>
  <c r="J2611" i="18"/>
  <c r="F2612" i="18"/>
  <c r="G2612" i="18"/>
  <c r="H2612" i="18"/>
  <c r="J2612" i="18" s="1"/>
  <c r="I2612" i="18"/>
  <c r="C2615" i="18"/>
  <c r="C2639" i="18" s="1"/>
  <c r="G2615" i="18"/>
  <c r="H2615" i="18"/>
  <c r="I2615" i="18"/>
  <c r="I2617" i="18" s="1"/>
  <c r="C2616" i="18"/>
  <c r="G2616" i="18"/>
  <c r="G2617" i="18" s="1"/>
  <c r="H2616" i="18"/>
  <c r="H2617" i="18" s="1"/>
  <c r="I2616" i="18"/>
  <c r="C2617" i="18"/>
  <c r="E2617" i="18"/>
  <c r="F2617" i="18"/>
  <c r="C2620" i="18"/>
  <c r="C2621" i="18"/>
  <c r="E2621" i="18"/>
  <c r="F2621" i="18"/>
  <c r="F2624" i="18" s="1"/>
  <c r="G2621" i="18"/>
  <c r="G2624" i="18" s="1"/>
  <c r="G2627" i="18" s="1"/>
  <c r="H2621" i="18"/>
  <c r="I2621" i="18"/>
  <c r="C2622" i="18"/>
  <c r="E2622" i="18"/>
  <c r="F2622" i="18"/>
  <c r="G2622" i="18"/>
  <c r="H2622" i="18"/>
  <c r="I2622" i="18"/>
  <c r="C2623" i="18"/>
  <c r="E2623" i="18"/>
  <c r="F2623" i="18"/>
  <c r="G2623" i="18"/>
  <c r="H2623" i="18"/>
  <c r="I2623" i="18"/>
  <c r="E2624" i="18"/>
  <c r="C2625" i="18"/>
  <c r="E2625" i="18"/>
  <c r="F2625" i="18"/>
  <c r="G2625" i="18"/>
  <c r="G2640" i="18" s="1"/>
  <c r="H2625" i="18"/>
  <c r="H2640" i="18" s="1"/>
  <c r="I2625" i="18"/>
  <c r="I2640" i="18" s="1"/>
  <c r="C2626" i="18"/>
  <c r="E2626" i="18"/>
  <c r="E2640" i="18" s="1"/>
  <c r="F2626" i="18"/>
  <c r="G2626" i="18"/>
  <c r="H2626" i="18"/>
  <c r="I2626" i="18"/>
  <c r="C2627" i="18"/>
  <c r="C2629" i="18"/>
  <c r="C2630" i="18"/>
  <c r="E2630" i="18"/>
  <c r="F2630" i="18"/>
  <c r="F2633" i="18" s="1"/>
  <c r="F2636" i="18" s="1"/>
  <c r="G2630" i="18"/>
  <c r="H2630" i="18"/>
  <c r="I2630" i="18"/>
  <c r="C2631" i="18"/>
  <c r="E2631" i="18"/>
  <c r="F2631" i="18"/>
  <c r="G2631" i="18"/>
  <c r="G2633" i="18" s="1"/>
  <c r="G2636" i="18" s="1"/>
  <c r="H2631" i="18"/>
  <c r="H2633" i="18" s="1"/>
  <c r="H2636" i="18" s="1"/>
  <c r="I2631" i="18"/>
  <c r="I2633" i="18" s="1"/>
  <c r="I2636" i="18" s="1"/>
  <c r="C2632" i="18"/>
  <c r="E2632" i="18"/>
  <c r="F2632" i="18"/>
  <c r="G2632" i="18"/>
  <c r="H2632" i="18"/>
  <c r="I2632" i="18"/>
  <c r="C2634" i="18"/>
  <c r="E2634" i="18"/>
  <c r="F2634" i="18"/>
  <c r="F2640" i="18" s="1"/>
  <c r="G2634" i="18"/>
  <c r="H2634" i="18"/>
  <c r="I2634" i="18"/>
  <c r="C2635" i="18"/>
  <c r="E2635" i="18"/>
  <c r="F2635" i="18"/>
  <c r="G2635" i="18"/>
  <c r="H2635" i="18"/>
  <c r="I2635" i="18"/>
  <c r="C2636" i="18"/>
  <c r="C2640" i="18"/>
  <c r="E2642" i="18"/>
  <c r="C2645" i="18"/>
  <c r="E2645" i="18"/>
  <c r="F2645" i="18"/>
  <c r="F2676" i="18" s="1"/>
  <c r="J2676" i="18" s="1"/>
  <c r="J2645" i="18" s="1"/>
  <c r="G2645" i="18"/>
  <c r="G2676" i="18" s="1"/>
  <c r="H2645" i="18"/>
  <c r="H2676" i="18" s="1"/>
  <c r="I2645" i="18"/>
  <c r="C2646" i="18"/>
  <c r="E2646" i="18"/>
  <c r="F2646" i="18"/>
  <c r="G2646" i="18"/>
  <c r="H2646" i="18"/>
  <c r="I2646" i="18"/>
  <c r="C2647" i="18"/>
  <c r="E2647" i="18"/>
  <c r="F2647" i="18"/>
  <c r="G2647" i="18"/>
  <c r="H2647" i="18"/>
  <c r="I2647" i="18"/>
  <c r="C2648" i="18"/>
  <c r="E2648" i="18"/>
  <c r="F2648" i="18"/>
  <c r="G2648" i="18"/>
  <c r="H2648" i="18"/>
  <c r="I2648" i="18"/>
  <c r="C2649" i="18"/>
  <c r="E2649" i="18"/>
  <c r="F2649" i="18"/>
  <c r="G2649" i="18"/>
  <c r="H2649" i="18"/>
  <c r="I2649" i="18"/>
  <c r="C2650" i="18"/>
  <c r="E2650" i="18"/>
  <c r="F2650" i="18"/>
  <c r="G2650" i="18"/>
  <c r="H2650" i="18"/>
  <c r="H2684" i="18" s="1"/>
  <c r="I2650" i="18"/>
  <c r="I2684" i="18" s="1"/>
  <c r="C2651" i="18"/>
  <c r="E2651" i="18"/>
  <c r="F2651" i="18"/>
  <c r="G2651" i="18"/>
  <c r="H2651" i="18"/>
  <c r="I2651" i="18"/>
  <c r="C2652" i="18"/>
  <c r="C2653" i="18"/>
  <c r="E2653" i="18"/>
  <c r="F2653" i="18"/>
  <c r="G2653" i="18"/>
  <c r="H2653" i="18"/>
  <c r="I2653" i="18"/>
  <c r="C2656" i="18"/>
  <c r="C2657" i="18"/>
  <c r="E2657" i="18"/>
  <c r="F2657" i="18"/>
  <c r="G2657" i="18"/>
  <c r="H2657" i="18"/>
  <c r="I2657" i="18"/>
  <c r="C2658" i="18"/>
  <c r="C2666" i="18" s="1"/>
  <c r="E2658" i="18"/>
  <c r="F2658" i="18"/>
  <c r="G2658" i="18"/>
  <c r="H2658" i="18"/>
  <c r="I2658" i="18"/>
  <c r="C2659" i="18"/>
  <c r="C2667" i="18" s="1"/>
  <c r="E2659" i="18"/>
  <c r="F2659" i="18"/>
  <c r="G2659" i="18"/>
  <c r="H2659" i="18"/>
  <c r="I2659" i="18"/>
  <c r="C2660" i="18"/>
  <c r="E2660" i="18"/>
  <c r="F2660" i="18"/>
  <c r="G2660" i="18"/>
  <c r="H2660" i="18"/>
  <c r="I2660" i="18"/>
  <c r="C2661" i="18"/>
  <c r="C2669" i="18" s="1"/>
  <c r="E2661" i="18"/>
  <c r="F2661" i="18"/>
  <c r="G2661" i="18"/>
  <c r="H2661" i="18"/>
  <c r="I2661" i="18"/>
  <c r="C2662" i="18"/>
  <c r="C2670" i="18" s="1"/>
  <c r="E2662" i="18"/>
  <c r="F2662" i="18"/>
  <c r="G2662" i="18"/>
  <c r="H2662" i="18"/>
  <c r="I2662" i="18"/>
  <c r="C2665" i="18"/>
  <c r="E2667" i="18"/>
  <c r="F2667" i="18"/>
  <c r="G2667" i="18"/>
  <c r="G2672" i="18" s="1"/>
  <c r="H2667" i="18"/>
  <c r="H2672" i="18" s="1"/>
  <c r="I2667" i="18"/>
  <c r="I2672" i="18" s="1"/>
  <c r="C2668" i="18"/>
  <c r="E2668" i="18"/>
  <c r="F2668" i="18"/>
  <c r="G2668" i="18"/>
  <c r="H2668" i="18"/>
  <c r="I2668" i="18"/>
  <c r="E2669" i="18"/>
  <c r="F2669" i="18"/>
  <c r="G2669" i="18"/>
  <c r="H2669" i="18"/>
  <c r="I2669" i="18"/>
  <c r="E2672" i="18"/>
  <c r="F2672" i="18"/>
  <c r="I2676" i="18"/>
  <c r="F2677" i="18"/>
  <c r="G2677" i="18"/>
  <c r="H2677" i="18"/>
  <c r="I2677" i="18"/>
  <c r="C2681" i="18"/>
  <c r="E2681" i="18"/>
  <c r="G2684" i="18"/>
  <c r="F2685" i="18"/>
  <c r="G2685" i="18"/>
  <c r="H2685" i="18"/>
  <c r="I2685" i="18"/>
  <c r="J2685" i="18"/>
  <c r="J2687" i="18" s="1"/>
  <c r="C2690" i="18"/>
  <c r="E2690" i="18"/>
  <c r="F2690" i="18"/>
  <c r="G2690" i="18"/>
  <c r="H2690" i="18"/>
  <c r="I2690" i="18"/>
  <c r="C2691" i="18"/>
  <c r="E2691" i="18"/>
  <c r="E2692" i="18" s="1"/>
  <c r="E2701" i="18" s="1"/>
  <c r="F2691" i="18"/>
  <c r="G2691" i="18"/>
  <c r="G2692" i="18" s="1"/>
  <c r="G2701" i="18" s="1"/>
  <c r="H2691" i="18"/>
  <c r="I2691" i="18"/>
  <c r="E2694" i="18"/>
  <c r="F2694" i="18"/>
  <c r="G2694" i="18"/>
  <c r="H2694" i="18"/>
  <c r="H2696" i="18" s="1"/>
  <c r="I2694" i="18"/>
  <c r="I2696" i="18" s="1"/>
  <c r="E2695" i="18"/>
  <c r="F2695" i="18"/>
  <c r="F2696" i="18" s="1"/>
  <c r="G2695" i="18"/>
  <c r="H2695" i="18"/>
  <c r="I2695" i="18"/>
  <c r="E2698" i="18"/>
  <c r="F2698" i="18"/>
  <c r="G2698" i="18"/>
  <c r="H2698" i="18"/>
  <c r="I2698" i="18"/>
  <c r="E2704" i="18"/>
  <c r="F2704" i="18"/>
  <c r="G2704" i="18"/>
  <c r="H2704" i="18"/>
  <c r="I2704" i="18"/>
  <c r="F2705" i="18"/>
  <c r="G2705" i="18"/>
  <c r="H2705" i="18"/>
  <c r="I2705" i="18"/>
  <c r="J2705" i="18"/>
  <c r="E2706" i="18"/>
  <c r="F2706" i="18"/>
  <c r="G2706" i="18"/>
  <c r="H2706" i="18"/>
  <c r="I2706" i="18"/>
  <c r="F2710" i="18"/>
  <c r="F2712" i="18" s="1"/>
  <c r="G2710" i="18"/>
  <c r="H2710" i="18"/>
  <c r="I2710" i="18"/>
  <c r="F2711" i="18"/>
  <c r="G2711" i="18"/>
  <c r="H2711" i="18"/>
  <c r="I2711" i="18"/>
  <c r="I2712" i="18" s="1"/>
  <c r="G2712" i="18"/>
  <c r="H2712" i="18"/>
  <c r="J2712" i="18"/>
  <c r="E2713" i="18"/>
  <c r="F2713" i="18"/>
  <c r="G2713" i="18"/>
  <c r="H2713" i="18"/>
  <c r="I2713" i="18"/>
  <c r="G2714" i="18"/>
  <c r="H2714" i="18"/>
  <c r="I2714" i="18"/>
  <c r="C2718" i="18"/>
  <c r="C2719" i="18"/>
  <c r="E2719" i="18"/>
  <c r="F2719" i="18"/>
  <c r="G2719" i="18"/>
  <c r="H2719" i="18"/>
  <c r="I2719" i="18"/>
  <c r="C2720" i="18"/>
  <c r="E2720" i="18"/>
  <c r="E2728" i="18" s="1"/>
  <c r="E2730" i="18" s="1"/>
  <c r="F2720" i="18"/>
  <c r="F2728" i="18" s="1"/>
  <c r="F2730" i="18" s="1"/>
  <c r="G2720" i="18"/>
  <c r="G2728" i="18" s="1"/>
  <c r="G2730" i="18" s="1"/>
  <c r="H2720" i="18"/>
  <c r="I2720" i="18"/>
  <c r="I2728" i="18" s="1"/>
  <c r="I2730" i="18" s="1"/>
  <c r="C2721" i="18"/>
  <c r="E2721" i="18"/>
  <c r="F2721" i="18"/>
  <c r="G2721" i="18"/>
  <c r="H2721" i="18"/>
  <c r="I2721" i="18"/>
  <c r="C2722" i="18"/>
  <c r="E2722" i="18"/>
  <c r="F2722" i="18"/>
  <c r="G2722" i="18"/>
  <c r="H2722" i="18"/>
  <c r="I2722" i="18"/>
  <c r="I2799" i="18" s="1"/>
  <c r="J2796" i="18" s="1"/>
  <c r="C2723" i="18"/>
  <c r="E2723" i="18"/>
  <c r="F2723" i="18"/>
  <c r="G2723" i="18"/>
  <c r="H2723" i="18"/>
  <c r="I2723" i="18"/>
  <c r="C2724" i="18"/>
  <c r="E2724" i="18"/>
  <c r="F2724" i="18"/>
  <c r="G2724" i="18"/>
  <c r="H2724" i="18"/>
  <c r="I2724" i="18"/>
  <c r="C2725" i="18"/>
  <c r="E2725" i="18"/>
  <c r="F2725" i="18"/>
  <c r="G2725" i="18"/>
  <c r="H2725" i="18"/>
  <c r="I2725" i="18"/>
  <c r="C2726" i="18"/>
  <c r="E2726" i="18"/>
  <c r="F2726" i="18"/>
  <c r="G2726" i="18"/>
  <c r="H2726" i="18"/>
  <c r="I2726" i="18"/>
  <c r="C2727" i="18"/>
  <c r="E2727" i="18"/>
  <c r="F2727" i="18"/>
  <c r="G2727" i="18"/>
  <c r="H2727" i="18"/>
  <c r="I2727" i="18"/>
  <c r="H2728" i="18"/>
  <c r="H2730" i="18" s="1"/>
  <c r="C2729" i="18"/>
  <c r="E2729" i="18"/>
  <c r="F2729" i="18"/>
  <c r="G2729" i="18"/>
  <c r="H2729" i="18"/>
  <c r="I2729" i="18"/>
  <c r="F2737" i="18"/>
  <c r="E2740" i="18"/>
  <c r="F2740" i="18"/>
  <c r="F2747" i="18" s="1"/>
  <c r="E2747" i="18"/>
  <c r="E2749" i="18"/>
  <c r="E2751" i="18" s="1"/>
  <c r="F2749" i="18"/>
  <c r="F2751" i="18" s="1"/>
  <c r="G2749" i="18"/>
  <c r="G2751" i="18" s="1"/>
  <c r="H2749" i="18"/>
  <c r="H2751" i="18" s="1"/>
  <c r="I2749" i="18"/>
  <c r="I2751" i="18" s="1"/>
  <c r="F2752" i="18"/>
  <c r="G2752" i="18"/>
  <c r="H2752" i="18"/>
  <c r="I2752" i="18"/>
  <c r="J2752" i="18"/>
  <c r="C2757" i="18"/>
  <c r="E2757" i="18"/>
  <c r="E2759" i="18" s="1"/>
  <c r="E2762" i="18" s="1"/>
  <c r="F2757" i="18"/>
  <c r="G2757" i="18"/>
  <c r="G2759" i="18" s="1"/>
  <c r="H2757" i="18"/>
  <c r="I2757" i="18"/>
  <c r="L2757" i="18"/>
  <c r="F2759" i="18"/>
  <c r="H2759" i="18"/>
  <c r="I2759" i="18"/>
  <c r="J2759" i="18"/>
  <c r="K2760" i="18"/>
  <c r="L2760" i="18"/>
  <c r="M2760" i="18"/>
  <c r="M2761" i="18" s="1"/>
  <c r="N2760" i="18"/>
  <c r="I2761" i="18"/>
  <c r="J2761" i="18"/>
  <c r="J2749" i="18" s="1"/>
  <c r="J2751" i="18" s="1"/>
  <c r="F2762" i="18"/>
  <c r="G2762" i="18"/>
  <c r="K2764" i="18"/>
  <c r="C2769" i="18"/>
  <c r="J2769" i="18"/>
  <c r="C2770" i="18"/>
  <c r="J2774" i="18"/>
  <c r="J2776" i="18"/>
  <c r="I2777" i="18"/>
  <c r="E2783" i="18"/>
  <c r="F2783" i="18"/>
  <c r="G2783" i="18"/>
  <c r="H2783" i="18"/>
  <c r="I2783" i="18"/>
  <c r="J2783" i="18"/>
  <c r="E2784" i="18"/>
  <c r="F2784" i="18"/>
  <c r="G2784" i="18"/>
  <c r="H2784" i="18"/>
  <c r="I2784" i="18"/>
  <c r="C2792" i="18"/>
  <c r="E2792" i="18"/>
  <c r="F2792" i="18"/>
  <c r="F2793" i="18" s="1"/>
  <c r="G2792" i="18"/>
  <c r="G2793" i="18" s="1"/>
  <c r="H2792" i="18"/>
  <c r="H2793" i="18" s="1"/>
  <c r="I2792" i="18"/>
  <c r="K2798" i="18"/>
  <c r="C2802" i="18"/>
  <c r="E2802" i="18"/>
  <c r="F2802" i="18"/>
  <c r="F2803" i="18" s="1"/>
  <c r="G2802" i="18"/>
  <c r="G2803" i="18" s="1"/>
  <c r="H2802" i="18"/>
  <c r="I2802" i="18"/>
  <c r="J2802" i="18" s="1"/>
  <c r="K2802" i="18" s="1"/>
  <c r="I2803" i="18"/>
  <c r="C2804" i="18"/>
  <c r="E2804" i="18"/>
  <c r="F2804" i="18"/>
  <c r="F2805" i="18" s="1"/>
  <c r="G2804" i="18"/>
  <c r="H2805" i="18" s="1"/>
  <c r="H2804" i="18"/>
  <c r="I2804" i="18"/>
  <c r="K2804" i="18"/>
  <c r="G2805" i="18"/>
  <c r="I2805" i="18"/>
  <c r="I2806" i="18"/>
  <c r="I2807" i="18" s="1"/>
  <c r="C2810" i="18"/>
  <c r="E2810" i="18"/>
  <c r="F2810" i="18"/>
  <c r="G2810" i="18"/>
  <c r="H2810" i="18"/>
  <c r="I2810" i="18"/>
  <c r="F2811" i="18"/>
  <c r="G2811" i="18"/>
  <c r="H2811" i="18"/>
  <c r="I2811" i="18"/>
  <c r="C2814" i="18"/>
  <c r="C2815" i="18"/>
  <c r="E2815" i="18"/>
  <c r="F2815" i="18"/>
  <c r="G2815" i="18"/>
  <c r="H2815" i="18"/>
  <c r="I2815" i="18"/>
  <c r="C2816" i="18"/>
  <c r="E2816" i="18"/>
  <c r="F2816" i="18"/>
  <c r="G2816" i="18"/>
  <c r="G2819" i="18" s="1"/>
  <c r="J2819" i="18" s="1"/>
  <c r="H2816" i="18"/>
  <c r="I2816" i="18"/>
  <c r="J2816" i="18"/>
  <c r="K2816" i="18"/>
  <c r="L2816" i="18"/>
  <c r="M2816" i="18" s="1"/>
  <c r="G2817" i="18"/>
  <c r="H2817" i="18"/>
  <c r="I2817" i="18"/>
  <c r="H2818" i="18"/>
  <c r="I2818" i="18"/>
  <c r="H2819" i="18"/>
  <c r="I2819" i="18"/>
  <c r="I2823" i="18"/>
  <c r="J2823" i="18"/>
  <c r="K2823" i="18"/>
  <c r="L2823" i="18"/>
  <c r="J2824" i="18"/>
  <c r="K2824" i="18" s="1"/>
  <c r="L2824" i="18" s="1"/>
  <c r="M2824" i="18" s="1"/>
  <c r="N2824" i="18" s="1"/>
  <c r="K2825" i="18"/>
  <c r="L2825" i="18"/>
  <c r="M2825" i="18"/>
  <c r="N2825" i="18"/>
  <c r="I2826" i="18"/>
  <c r="J2822" i="18" s="1"/>
  <c r="C2836" i="18"/>
  <c r="E2836" i="18"/>
  <c r="E2838" i="18" s="1"/>
  <c r="F2836" i="18"/>
  <c r="F2838" i="18" s="1"/>
  <c r="G2836" i="18"/>
  <c r="H2836" i="18"/>
  <c r="H2838" i="18" s="1"/>
  <c r="I2836" i="18"/>
  <c r="C2837" i="18"/>
  <c r="E2837" i="18"/>
  <c r="F2837" i="18"/>
  <c r="G2837" i="18"/>
  <c r="H2837" i="18"/>
  <c r="I2837" i="18"/>
  <c r="I2838" i="18" s="1"/>
  <c r="G2838" i="18"/>
  <c r="C2840" i="18"/>
  <c r="E2840" i="18"/>
  <c r="F2840" i="18"/>
  <c r="G2840" i="18"/>
  <c r="H2840" i="18"/>
  <c r="I2840" i="18"/>
  <c r="C2841" i="18"/>
  <c r="E2841" i="18"/>
  <c r="F2841" i="18"/>
  <c r="G2841" i="18"/>
  <c r="H2841" i="18"/>
  <c r="I2841" i="18"/>
  <c r="K2846" i="18"/>
  <c r="J2848" i="18"/>
  <c r="K2848" i="18"/>
  <c r="L2848" i="18"/>
  <c r="M2848" i="18"/>
  <c r="N2848" i="18" s="1"/>
  <c r="J2849" i="18"/>
  <c r="K2849" i="18" s="1"/>
  <c r="L2849" i="18" s="1"/>
  <c r="M2849" i="18" s="1"/>
  <c r="N2849" i="18" s="1"/>
  <c r="E2852" i="18"/>
  <c r="F2846" i="18" s="1"/>
  <c r="F2855" i="18"/>
  <c r="G2855" i="18"/>
  <c r="J2855" i="18" s="1"/>
  <c r="H2855" i="18"/>
  <c r="I2855" i="18"/>
  <c r="E2857" i="18"/>
  <c r="C2862" i="18"/>
  <c r="E2862" i="18"/>
  <c r="E2864" i="18" s="1"/>
  <c r="F2862" i="18"/>
  <c r="G2862" i="18"/>
  <c r="H2862" i="18"/>
  <c r="I2862" i="18"/>
  <c r="I2864" i="18" s="1"/>
  <c r="C2863" i="18"/>
  <c r="E2863" i="18"/>
  <c r="F2863" i="18"/>
  <c r="F2864" i="18" s="1"/>
  <c r="G2863" i="18"/>
  <c r="G2864" i="18" s="1"/>
  <c r="H2863" i="18"/>
  <c r="H2864" i="18" s="1"/>
  <c r="I2863" i="18"/>
  <c r="C2867" i="18"/>
  <c r="E2867" i="18"/>
  <c r="F2867" i="18"/>
  <c r="G2867" i="18"/>
  <c r="H2867" i="18"/>
  <c r="I2867" i="18"/>
  <c r="C2869" i="18"/>
  <c r="E2869" i="18"/>
  <c r="F2869" i="18"/>
  <c r="G2869" i="18"/>
  <c r="H2869" i="18"/>
  <c r="I2869" i="18"/>
  <c r="C40" i="6"/>
  <c r="C41" i="6"/>
  <c r="C39" i="6"/>
  <c r="C34" i="6"/>
  <c r="C38" i="6"/>
  <c r="E234" i="4"/>
  <c r="F234" i="4"/>
  <c r="G234" i="4"/>
  <c r="H234" i="4"/>
  <c r="I234" i="4"/>
  <c r="J458" i="4"/>
  <c r="K458" i="4"/>
  <c r="K483" i="4" s="1"/>
  <c r="K489" i="4" s="1"/>
  <c r="L458" i="4"/>
  <c r="L483" i="4" s="1"/>
  <c r="L489" i="4" s="1"/>
  <c r="M458" i="4"/>
  <c r="M483" i="4" s="1"/>
  <c r="M489" i="4" s="1"/>
  <c r="N458" i="4"/>
  <c r="N483" i="4" s="1"/>
  <c r="N489" i="4" s="1"/>
  <c r="J459" i="4"/>
  <c r="K459" i="4"/>
  <c r="K143" i="4" s="1"/>
  <c r="L459" i="4"/>
  <c r="L143" i="4" s="1"/>
  <c r="M459" i="4"/>
  <c r="M143" i="4" s="1"/>
  <c r="N459" i="4"/>
  <c r="N143" i="4" s="1"/>
  <c r="C181" i="4"/>
  <c r="K471" i="4"/>
  <c r="K494" i="4" s="1"/>
  <c r="L471" i="4"/>
  <c r="L494" i="4" s="1"/>
  <c r="M471" i="4"/>
  <c r="M494" i="4" s="1"/>
  <c r="N471" i="4"/>
  <c r="N494" i="4" s="1"/>
  <c r="J737" i="4"/>
  <c r="K737" i="4" s="1"/>
  <c r="L737" i="4" s="1"/>
  <c r="M737" i="4" s="1"/>
  <c r="N737" i="4" s="1"/>
  <c r="J736" i="4"/>
  <c r="K736" i="4" s="1"/>
  <c r="L736" i="4" s="1"/>
  <c r="M736" i="4" s="1"/>
  <c r="N736" i="4" s="1"/>
  <c r="K389" i="4"/>
  <c r="K25" i="4" s="1"/>
  <c r="K102" i="4" s="1"/>
  <c r="L389" i="4"/>
  <c r="L25" i="4" s="1"/>
  <c r="L102" i="4" s="1"/>
  <c r="M389" i="4"/>
  <c r="M25" i="4" s="1"/>
  <c r="M102" i="4" s="1"/>
  <c r="N389" i="4"/>
  <c r="N25" i="4" s="1"/>
  <c r="N102" i="4" s="1"/>
  <c r="J389" i="4"/>
  <c r="J25" i="4" s="1"/>
  <c r="J102" i="4" s="1"/>
  <c r="L55" i="4" l="1"/>
  <c r="M55" i="4" s="1"/>
  <c r="N55" i="4" s="1"/>
  <c r="N60" i="4" s="1"/>
  <c r="J375" i="4"/>
  <c r="K375" i="4"/>
  <c r="L758" i="4"/>
  <c r="M758" i="4" s="1"/>
  <c r="N758" i="4" s="1"/>
  <c r="N375" i="4" s="1"/>
  <c r="L755" i="4"/>
  <c r="K374" i="4"/>
  <c r="J374" i="4"/>
  <c r="F2700" i="18"/>
  <c r="I2418" i="18"/>
  <c r="G1839" i="18"/>
  <c r="F2857" i="18"/>
  <c r="F2852" i="18"/>
  <c r="G2846" i="18" s="1"/>
  <c r="F2627" i="18"/>
  <c r="F2639" i="18"/>
  <c r="H2389" i="18"/>
  <c r="J2677" i="18"/>
  <c r="J2646" i="18" s="1"/>
  <c r="K2611" i="18"/>
  <c r="F2423" i="18"/>
  <c r="H2803" i="18"/>
  <c r="J2797" i="18"/>
  <c r="J2799" i="18" s="1"/>
  <c r="J2766" i="18"/>
  <c r="E2627" i="18"/>
  <c r="E2639" i="18"/>
  <c r="I2577" i="18"/>
  <c r="H2538" i="18"/>
  <c r="H2552" i="18" s="1"/>
  <c r="I2529" i="18"/>
  <c r="I2528" i="18"/>
  <c r="E2312" i="18"/>
  <c r="E1517" i="18"/>
  <c r="E2316" i="18" s="1"/>
  <c r="E2318" i="18" s="1"/>
  <c r="G2700" i="18"/>
  <c r="K2819" i="18"/>
  <c r="L2819" i="18" s="1"/>
  <c r="I2624" i="18"/>
  <c r="D2386" i="18"/>
  <c r="I2366" i="18"/>
  <c r="I2446" i="18"/>
  <c r="H1865" i="18"/>
  <c r="G1670" i="18"/>
  <c r="G1659" i="18"/>
  <c r="I1512" i="18"/>
  <c r="I2323" i="18"/>
  <c r="Q1154" i="18"/>
  <c r="W1154" i="18" s="1"/>
  <c r="E1158" i="18"/>
  <c r="G1718" i="18"/>
  <c r="G1807" i="18"/>
  <c r="G1809" i="18" s="1"/>
  <c r="G1810" i="18" s="1"/>
  <c r="G2207" i="18"/>
  <c r="G2209" i="18" s="1"/>
  <c r="G1836" i="18"/>
  <c r="G1838" i="18" s="1"/>
  <c r="G2023" i="18" s="1"/>
  <c r="G2038" i="18" s="1"/>
  <c r="G2639" i="18"/>
  <c r="K2536" i="18"/>
  <c r="L2536" i="18" s="1"/>
  <c r="I2793" i="18"/>
  <c r="I2692" i="18"/>
  <c r="I2701" i="18" s="1"/>
  <c r="I2700" i="18"/>
  <c r="H2624" i="18"/>
  <c r="H2366" i="18"/>
  <c r="H2446" i="18"/>
  <c r="E2711" i="18"/>
  <c r="E2177" i="18"/>
  <c r="E2710" i="18" s="1"/>
  <c r="E2714" i="18" s="1"/>
  <c r="G2012" i="18"/>
  <c r="G2011" i="18"/>
  <c r="G1865" i="18"/>
  <c r="G1868" i="18" s="1"/>
  <c r="J1150" i="18"/>
  <c r="J1148" i="18" s="1"/>
  <c r="J1161" i="18" s="1"/>
  <c r="E2278" i="18"/>
  <c r="E2700" i="18"/>
  <c r="H2031" i="18"/>
  <c r="J2826" i="18"/>
  <c r="K2822" i="18" s="1"/>
  <c r="K2826" i="18" s="1"/>
  <c r="L2822" i="18" s="1"/>
  <c r="L2826" i="18" s="1"/>
  <c r="M2822" i="18" s="1"/>
  <c r="M2826" i="18" s="1"/>
  <c r="N2822" i="18" s="1"/>
  <c r="N2826" i="18" s="1"/>
  <c r="J2714" i="18"/>
  <c r="H2578" i="18"/>
  <c r="J2536" i="18"/>
  <c r="H2342" i="18"/>
  <c r="F2362" i="18"/>
  <c r="F2432" i="18"/>
  <c r="G2144" i="18"/>
  <c r="G1755" i="18"/>
  <c r="G1757" i="18" s="1"/>
  <c r="G1844" i="18"/>
  <c r="G1847" i="18" s="1"/>
  <c r="H1866" i="18"/>
  <c r="H2106" i="18"/>
  <c r="H2029" i="18"/>
  <c r="G1517" i="18"/>
  <c r="G2316" i="18" s="1"/>
  <c r="G2318" i="18" s="1"/>
  <c r="G2311" i="18"/>
  <c r="I936" i="18"/>
  <c r="G2366" i="18"/>
  <c r="G2446" i="18"/>
  <c r="H2207" i="18"/>
  <c r="H2209" i="18" s="1"/>
  <c r="H1807" i="18"/>
  <c r="H1809" i="18" s="1"/>
  <c r="H1810" i="18" s="1"/>
  <c r="H1718" i="18"/>
  <c r="H1719" i="18" s="1"/>
  <c r="H1726" i="18" s="1"/>
  <c r="H1727" i="18" s="1"/>
  <c r="H1836" i="18"/>
  <c r="H1838" i="18" s="1"/>
  <c r="H2023" i="18" s="1"/>
  <c r="F986" i="18"/>
  <c r="F2258" i="18"/>
  <c r="F2455" i="18" s="1"/>
  <c r="J2471" i="18"/>
  <c r="G2737" i="18"/>
  <c r="G2740" i="18" s="1"/>
  <c r="L2611" i="18"/>
  <c r="M2611" i="18" s="1"/>
  <c r="E2020" i="18"/>
  <c r="F1827" i="18"/>
  <c r="F1839" i="18" s="1"/>
  <c r="E1718" i="18"/>
  <c r="E1719" i="18" s="1"/>
  <c r="E1726" i="18" s="1"/>
  <c r="E1727" i="18" s="1"/>
  <c r="E1836" i="18"/>
  <c r="E1807" i="18"/>
  <c r="E1809" i="18" s="1"/>
  <c r="E1810" i="18" s="1"/>
  <c r="E2207" i="18"/>
  <c r="E1859" i="18" s="1"/>
  <c r="E1861" i="18" s="1"/>
  <c r="E1827" i="18"/>
  <c r="L2576" i="18"/>
  <c r="L2572" i="18" s="1"/>
  <c r="H2438" i="18"/>
  <c r="H2144" i="18"/>
  <c r="H1755" i="18"/>
  <c r="H1757" i="18" s="1"/>
  <c r="H1752" i="18" s="1"/>
  <c r="H1844" i="18"/>
  <c r="H1847" i="18" s="1"/>
  <c r="G2001" i="18"/>
  <c r="E2817" i="18"/>
  <c r="F2714" i="18"/>
  <c r="G2696" i="18"/>
  <c r="H2692" i="18"/>
  <c r="H2701" i="18" s="1"/>
  <c r="J2701" i="18" s="1"/>
  <c r="I2642" i="18"/>
  <c r="I2681" i="18" s="1"/>
  <c r="I2680" i="18" s="1"/>
  <c r="K2612" i="18"/>
  <c r="H2528" i="18"/>
  <c r="H2450" i="18"/>
  <c r="I2395" i="18"/>
  <c r="I2350" i="18"/>
  <c r="D2350" i="18" s="1"/>
  <c r="D2351" i="18"/>
  <c r="I2383" i="18"/>
  <c r="G2215" i="18"/>
  <c r="G2217" i="18" s="1"/>
  <c r="F1755" i="18"/>
  <c r="F1757" i="18" s="1"/>
  <c r="F1752" i="18" s="1"/>
  <c r="F1844" i="18"/>
  <c r="F1847" i="18" s="1"/>
  <c r="F2144" i="18"/>
  <c r="G1866" i="18"/>
  <c r="G2106" i="18"/>
  <c r="G2029" i="18"/>
  <c r="G2031" i="18" s="1"/>
  <c r="E1865" i="18"/>
  <c r="E2028" i="18"/>
  <c r="E2031" i="18" s="1"/>
  <c r="E774" i="18"/>
  <c r="E1491" i="18" s="1"/>
  <c r="F1486" i="18" s="1"/>
  <c r="F975" i="18"/>
  <c r="F2255" i="18"/>
  <c r="H936" i="18"/>
  <c r="H941" i="18" s="1"/>
  <c r="H2038" i="18"/>
  <c r="F1491" i="18"/>
  <c r="I1486" i="18" s="1"/>
  <c r="I1487" i="18" s="1"/>
  <c r="F2817" i="18"/>
  <c r="L2761" i="18"/>
  <c r="G2642" i="18"/>
  <c r="G2681" i="18" s="1"/>
  <c r="G2680" i="18" s="1"/>
  <c r="H2642" i="18"/>
  <c r="H2681" i="18" s="1"/>
  <c r="H2680" i="18" s="1"/>
  <c r="E2552" i="18"/>
  <c r="G2450" i="18"/>
  <c r="G2452" i="18" s="1"/>
  <c r="C2377" i="18"/>
  <c r="C2362" i="18"/>
  <c r="F2215" i="18"/>
  <c r="F2217" i="18" s="1"/>
  <c r="E1755" i="18"/>
  <c r="E1757" i="18" s="1"/>
  <c r="E1844" i="18"/>
  <c r="E1847" i="18" s="1"/>
  <c r="E2144" i="18"/>
  <c r="F1866" i="18"/>
  <c r="F1990" i="18" s="1"/>
  <c r="F1991" i="18" s="1"/>
  <c r="F2029" i="18"/>
  <c r="F2031" i="18" s="1"/>
  <c r="F2106" i="18"/>
  <c r="V1151" i="18"/>
  <c r="Y1151" i="18" s="1"/>
  <c r="W1151" i="18"/>
  <c r="E975" i="18"/>
  <c r="E2255" i="18"/>
  <c r="I2367" i="18"/>
  <c r="I2450" i="18"/>
  <c r="F1868" i="18"/>
  <c r="E2633" i="18"/>
  <c r="E2636" i="18" s="1"/>
  <c r="F1833" i="18"/>
  <c r="F2018" i="18" s="1"/>
  <c r="F2016" i="18"/>
  <c r="F1718" i="18"/>
  <c r="F1719" i="18" s="1"/>
  <c r="F1726" i="18" s="1"/>
  <c r="F1727" i="18" s="1"/>
  <c r="F1807" i="18"/>
  <c r="F1836" i="18"/>
  <c r="F1838" i="18" s="1"/>
  <c r="F2023" i="18" s="1"/>
  <c r="F2038" i="18" s="1"/>
  <c r="F2207" i="18"/>
  <c r="F2209" i="18" s="1"/>
  <c r="E749" i="18"/>
  <c r="I2011" i="18"/>
  <c r="F1395" i="18"/>
  <c r="F1384" i="18"/>
  <c r="I2106" i="18"/>
  <c r="I1866" i="18"/>
  <c r="I2029" i="18"/>
  <c r="E1395" i="18"/>
  <c r="E1384" i="18"/>
  <c r="M2823" i="18"/>
  <c r="N2816" i="18"/>
  <c r="N2823" i="18" s="1"/>
  <c r="K2855" i="18"/>
  <c r="J2806" i="18"/>
  <c r="K2757" i="18"/>
  <c r="E2752" i="18"/>
  <c r="F2741" i="18"/>
  <c r="E2696" i="18"/>
  <c r="F2692" i="18"/>
  <c r="F2701" i="18" s="1"/>
  <c r="F2642" i="18"/>
  <c r="F2681" i="18" s="1"/>
  <c r="F2680" i="18" s="1"/>
  <c r="F2684" i="18"/>
  <c r="J2684" i="18" s="1"/>
  <c r="J2650" i="18" s="1"/>
  <c r="I2538" i="18"/>
  <c r="I2552" i="18" s="1"/>
  <c r="I2361" i="18"/>
  <c r="I2363" i="18" s="1"/>
  <c r="I2430" i="18"/>
  <c r="E2215" i="18"/>
  <c r="E2217" i="18" s="1"/>
  <c r="F1517" i="18"/>
  <c r="F2312" i="18"/>
  <c r="F2529" i="18"/>
  <c r="H2278" i="18"/>
  <c r="I1827" i="18"/>
  <c r="I1839" i="18" s="1"/>
  <c r="F1075" i="18"/>
  <c r="AD1060" i="18"/>
  <c r="I1072" i="18"/>
  <c r="E2529" i="18"/>
  <c r="J2529" i="18" s="1"/>
  <c r="I1831" i="18"/>
  <c r="I781" i="18"/>
  <c r="I2180" i="18"/>
  <c r="I1826" i="18" s="1"/>
  <c r="H775" i="18"/>
  <c r="H2009" i="18"/>
  <c r="I1122" i="18"/>
  <c r="I1127" i="18"/>
  <c r="H911" i="18"/>
  <c r="H913" i="18" s="1"/>
  <c r="E2346" i="18"/>
  <c r="F2346" i="18"/>
  <c r="I1718" i="18"/>
  <c r="I1719" i="18" s="1"/>
  <c r="I1726" i="18" s="1"/>
  <c r="I1727" i="18" s="1"/>
  <c r="I2207" i="18"/>
  <c r="I2209" i="18" s="1"/>
  <c r="I1807" i="18"/>
  <c r="I1809" i="18" s="1"/>
  <c r="I1810" i="18" s="1"/>
  <c r="H1831" i="18"/>
  <c r="H2180" i="18"/>
  <c r="H1826" i="18" s="1"/>
  <c r="H1827" i="18" s="1"/>
  <c r="H1839" i="18" s="1"/>
  <c r="H781" i="18"/>
  <c r="G1719" i="18"/>
  <c r="G1726" i="18" s="1"/>
  <c r="G1727" i="18" s="1"/>
  <c r="I1844" i="18"/>
  <c r="I1847" i="18" s="1"/>
  <c r="I1755" i="18"/>
  <c r="I1757" i="18" s="1"/>
  <c r="I1752" i="18" s="1"/>
  <c r="I2144" i="18"/>
  <c r="I2031" i="18"/>
  <c r="I1865" i="18"/>
  <c r="J1487" i="18"/>
  <c r="F796" i="18" s="1"/>
  <c r="H2187" i="18"/>
  <c r="I2036" i="18"/>
  <c r="I815" i="18" s="1"/>
  <c r="I817" i="18" s="1"/>
  <c r="I824" i="18" s="1"/>
  <c r="I2001" i="18"/>
  <c r="H1517" i="18"/>
  <c r="H2316" i="18" s="1"/>
  <c r="H2318" i="18" s="1"/>
  <c r="H2311" i="18"/>
  <c r="W1148" i="18"/>
  <c r="V1145" i="18"/>
  <c r="V1146" i="18" s="1"/>
  <c r="W1145" i="18"/>
  <c r="E986" i="18"/>
  <c r="E999" i="18" s="1"/>
  <c r="E913" i="18"/>
  <c r="I1491" i="18"/>
  <c r="R1486" i="18" s="1"/>
  <c r="R1487" i="18" s="1"/>
  <c r="S1487" i="18" s="1"/>
  <c r="I796" i="18" s="1"/>
  <c r="H1491" i="18"/>
  <c r="O1486" i="18" s="1"/>
  <c r="O1487" i="18" s="1"/>
  <c r="I2388" i="18"/>
  <c r="I2389" i="18" s="1"/>
  <c r="G2187" i="18"/>
  <c r="E2009" i="18"/>
  <c r="E2036" i="18"/>
  <c r="E815" i="18" s="1"/>
  <c r="E817" i="18" s="1"/>
  <c r="E824" i="18" s="1"/>
  <c r="H2036" i="18"/>
  <c r="H815" i="18" s="1"/>
  <c r="H817" i="18" s="1"/>
  <c r="H824" i="18" s="1"/>
  <c r="H2001" i="18"/>
  <c r="E1670" i="18"/>
  <c r="E1659" i="18"/>
  <c r="J1147" i="18"/>
  <c r="E1130" i="18"/>
  <c r="E1131" i="18" s="1"/>
  <c r="AG1060" i="18"/>
  <c r="I1075" i="18"/>
  <c r="F997" i="18"/>
  <c r="F999" i="18" s="1"/>
  <c r="I2010" i="18"/>
  <c r="I2012" i="18" s="1"/>
  <c r="E1766" i="18"/>
  <c r="X1141" i="18"/>
  <c r="V1142" i="18"/>
  <c r="I2278" i="18"/>
  <c r="G1766" i="18"/>
  <c r="G1112" i="18"/>
  <c r="G1075" i="18"/>
  <c r="F1070" i="18"/>
  <c r="G1070" i="18"/>
  <c r="E1973" i="18"/>
  <c r="E2109" i="18"/>
  <c r="E2113" i="18" s="1"/>
  <c r="T1154" i="18"/>
  <c r="Z1154" i="18" s="1"/>
  <c r="H1158" i="18"/>
  <c r="V1148" i="18"/>
  <c r="X1148" i="18" s="1"/>
  <c r="F1138" i="18"/>
  <c r="F1139" i="18"/>
  <c r="H1128" i="18"/>
  <c r="H859" i="18"/>
  <c r="H749" i="18"/>
  <c r="I975" i="18"/>
  <c r="F941" i="18"/>
  <c r="H862" i="18"/>
  <c r="H975" i="18"/>
  <c r="I930" i="18"/>
  <c r="I941" i="18" s="1"/>
  <c r="X1151" i="18"/>
  <c r="X1145" i="18"/>
  <c r="F1130" i="18"/>
  <c r="F1131" i="18" s="1"/>
  <c r="F1128" i="18"/>
  <c r="F1012" i="18"/>
  <c r="F1018" i="18"/>
  <c r="G975" i="18"/>
  <c r="G1833" i="18"/>
  <c r="G2018" i="18" s="1"/>
  <c r="G2020" i="18"/>
  <c r="F1659" i="18"/>
  <c r="H1395" i="18"/>
  <c r="Y1137" i="18"/>
  <c r="X1134" i="18"/>
  <c r="J1074" i="18"/>
  <c r="G1018" i="18"/>
  <c r="I1011" i="18"/>
  <c r="I986" i="18"/>
  <c r="I1996" i="18"/>
  <c r="E1854" i="18"/>
  <c r="P1487" i="18"/>
  <c r="H796" i="18" s="1"/>
  <c r="G1395" i="18"/>
  <c r="W1134" i="18"/>
  <c r="Y1134" i="18" s="1"/>
  <c r="H1130" i="18"/>
  <c r="H1131" i="18" s="1"/>
  <c r="E1012" i="18"/>
  <c r="I997" i="18"/>
  <c r="H1011" i="18"/>
  <c r="E920" i="18"/>
  <c r="E941" i="18" s="1"/>
  <c r="F911" i="18"/>
  <c r="G901" i="18"/>
  <c r="G913" i="18" s="1"/>
  <c r="G861" i="18"/>
  <c r="G753" i="18"/>
  <c r="G2036" i="18"/>
  <c r="G815" i="18" s="1"/>
  <c r="G817" i="18" s="1"/>
  <c r="G824" i="18" s="1"/>
  <c r="G2016" i="18"/>
  <c r="F2009" i="18"/>
  <c r="G2002" i="18"/>
  <c r="G1143" i="18"/>
  <c r="H1140" i="18"/>
  <c r="X1137" i="18"/>
  <c r="V1134" i="18"/>
  <c r="V1135" i="18" s="1"/>
  <c r="G1130" i="18"/>
  <c r="G1131" i="18" s="1"/>
  <c r="G1095" i="18"/>
  <c r="I1082" i="18"/>
  <c r="AC1060" i="18"/>
  <c r="I1010" i="18"/>
  <c r="H997" i="18"/>
  <c r="H999" i="18" s="1"/>
  <c r="E965" i="18"/>
  <c r="F901" i="18"/>
  <c r="F913" i="18" s="1"/>
  <c r="F851" i="18"/>
  <c r="F756" i="18"/>
  <c r="F817" i="18"/>
  <c r="F824" i="18" s="1"/>
  <c r="I1155" i="18"/>
  <c r="F1095" i="18"/>
  <c r="I749" i="18"/>
  <c r="I859" i="18"/>
  <c r="H1010" i="18"/>
  <c r="G941" i="18"/>
  <c r="I862" i="18"/>
  <c r="AE1060" i="18"/>
  <c r="E1018" i="18"/>
  <c r="I1052" i="18"/>
  <c r="I1053" i="18" s="1"/>
  <c r="J518" i="4"/>
  <c r="J141" i="4" s="1"/>
  <c r="L60" i="4" l="1"/>
  <c r="M60" i="4"/>
  <c r="M375" i="4"/>
  <c r="L375" i="4"/>
  <c r="M755" i="4"/>
  <c r="L374" i="4"/>
  <c r="Y1148" i="18"/>
  <c r="Z1148" i="18" s="1"/>
  <c r="N2612" i="18"/>
  <c r="F2032" i="18"/>
  <c r="F2033" i="18" s="1"/>
  <c r="G2033" i="18"/>
  <c r="G2032" i="18"/>
  <c r="N2611" i="18"/>
  <c r="L2612" i="18"/>
  <c r="M2612" i="18" s="1"/>
  <c r="G1035" i="18"/>
  <c r="G851" i="18"/>
  <c r="G756" i="18"/>
  <c r="F1140" i="18"/>
  <c r="F1143" i="18"/>
  <c r="E2011" i="18"/>
  <c r="E2010" i="18"/>
  <c r="E2012" i="18" s="1"/>
  <c r="I2438" i="18"/>
  <c r="E2446" i="18"/>
  <c r="E2366" i="18"/>
  <c r="G2472" i="18"/>
  <c r="J1154" i="18"/>
  <c r="I2032" i="18"/>
  <c r="I2033" i="18" s="1"/>
  <c r="K2761" i="18"/>
  <c r="N2757" i="18"/>
  <c r="N2761" i="18" s="1"/>
  <c r="E1016" i="18"/>
  <c r="E977" i="18"/>
  <c r="E1015" i="18"/>
  <c r="M2536" i="18"/>
  <c r="N2536" i="18" s="1"/>
  <c r="G864" i="18"/>
  <c r="I1517" i="18"/>
  <c r="I2316" i="18" s="1"/>
  <c r="I2311" i="18"/>
  <c r="Z1134" i="18"/>
  <c r="H2737" i="18"/>
  <c r="H2740" i="18" s="1"/>
  <c r="G2747" i="18"/>
  <c r="G2741" i="18"/>
  <c r="Z1151" i="18"/>
  <c r="F2366" i="18"/>
  <c r="F2446" i="18"/>
  <c r="G852" i="18"/>
  <c r="Y1145" i="18"/>
  <c r="Z1145" i="18" s="1"/>
  <c r="J2389" i="18"/>
  <c r="E1838" i="18"/>
  <c r="E2023" i="18" s="1"/>
  <c r="E2021" i="18"/>
  <c r="H1868" i="18"/>
  <c r="G850" i="18"/>
  <c r="H2011" i="18"/>
  <c r="H2010" i="18"/>
  <c r="H2012" i="18" s="1"/>
  <c r="M2576" i="18"/>
  <c r="G2412" i="18"/>
  <c r="E2712" i="18"/>
  <c r="I2472" i="18"/>
  <c r="E753" i="18"/>
  <c r="F861" i="18"/>
  <c r="E2383" i="18"/>
  <c r="L2855" i="18"/>
  <c r="G2342" i="18"/>
  <c r="H2344" i="18"/>
  <c r="H2472" i="18"/>
  <c r="H2473" i="18" s="1"/>
  <c r="H2032" i="18"/>
  <c r="H2033" i="18" s="1"/>
  <c r="H2412" i="18"/>
  <c r="F760" i="18"/>
  <c r="F764" i="18" s="1"/>
  <c r="F831" i="18"/>
  <c r="AE1072" i="18"/>
  <c r="I1159" i="18"/>
  <c r="E2361" i="18"/>
  <c r="E2363" i="18" s="1"/>
  <c r="E2430" i="18"/>
  <c r="G1154" i="18"/>
  <c r="H1144" i="18"/>
  <c r="G1144" i="18"/>
  <c r="H1018" i="18"/>
  <c r="H1017" i="18"/>
  <c r="H1012" i="18"/>
  <c r="G1016" i="18"/>
  <c r="G1015" i="18"/>
  <c r="G977" i="18"/>
  <c r="G2852" i="18"/>
  <c r="H2846" i="18" s="1"/>
  <c r="G2857" i="18"/>
  <c r="I1018" i="18"/>
  <c r="I1017" i="18"/>
  <c r="I1012" i="18"/>
  <c r="H861" i="18"/>
  <c r="H753" i="18"/>
  <c r="H2383" i="18"/>
  <c r="H2384" i="18" s="1"/>
  <c r="H2016" i="18"/>
  <c r="H1833" i="18"/>
  <c r="H2018" i="18" s="1"/>
  <c r="K2529" i="18"/>
  <c r="J2680" i="18"/>
  <c r="I2452" i="18"/>
  <c r="E1990" i="18"/>
  <c r="E1868" i="18"/>
  <c r="E2037" i="18"/>
  <c r="E2032" i="18"/>
  <c r="E2033" i="18" s="1"/>
  <c r="F2020" i="18"/>
  <c r="F2025" i="18"/>
  <c r="F2037" i="18"/>
  <c r="F2024" i="18"/>
  <c r="F1016" i="18"/>
  <c r="F977" i="18"/>
  <c r="F1015" i="18"/>
  <c r="I2384" i="18"/>
  <c r="I999" i="18"/>
  <c r="I1015" i="18"/>
  <c r="I1016" i="18"/>
  <c r="I977" i="18"/>
  <c r="F2010" i="18"/>
  <c r="F2012" i="18" s="1"/>
  <c r="F2430" i="18"/>
  <c r="F2361" i="18"/>
  <c r="F2363" i="18" s="1"/>
  <c r="E1752" i="18"/>
  <c r="H2452" i="18"/>
  <c r="M2855" i="18"/>
  <c r="N2855" i="18" s="1"/>
  <c r="G1752" i="18"/>
  <c r="H1016" i="18"/>
  <c r="H1015" i="18"/>
  <c r="H977" i="18"/>
  <c r="I1128" i="18"/>
  <c r="I1130" i="18"/>
  <c r="I1131" i="18" s="1"/>
  <c r="Z1137" i="18"/>
  <c r="G2024" i="18"/>
  <c r="G2025" i="18" s="1"/>
  <c r="G2037" i="18"/>
  <c r="I753" i="18"/>
  <c r="I861" i="18"/>
  <c r="Y1141" i="18"/>
  <c r="Z1141" i="18" s="1"/>
  <c r="I1868" i="18"/>
  <c r="I1833" i="18"/>
  <c r="I2018" i="18" s="1"/>
  <c r="I2016" i="18"/>
  <c r="F2316" i="18"/>
  <c r="F2318" i="18" s="1"/>
  <c r="F1960" i="18"/>
  <c r="F1809" i="18"/>
  <c r="F1810" i="18" s="1"/>
  <c r="F1822" i="18"/>
  <c r="G1140" i="18"/>
  <c r="H2700" i="18"/>
  <c r="J2700" i="18" s="1"/>
  <c r="J2702" i="18" s="1"/>
  <c r="H2627" i="18"/>
  <c r="H2639" i="18"/>
  <c r="I2627" i="18"/>
  <c r="I2639" i="18"/>
  <c r="L2529" i="18"/>
  <c r="N2529" i="18" s="1"/>
  <c r="M2529" i="18"/>
  <c r="N755" i="4" l="1"/>
  <c r="N374" i="4" s="1"/>
  <c r="M374" i="4"/>
  <c r="I1035" i="18"/>
  <c r="I851" i="18"/>
  <c r="I756" i="18"/>
  <c r="D849" i="18"/>
  <c r="I864" i="18"/>
  <c r="I850" i="18"/>
  <c r="I852" i="18"/>
  <c r="H1035" i="18"/>
  <c r="H756" i="18"/>
  <c r="H851" i="18"/>
  <c r="H864" i="18"/>
  <c r="H852" i="18"/>
  <c r="H850" i="18"/>
  <c r="H2415" i="18"/>
  <c r="E756" i="18"/>
  <c r="E864" i="18"/>
  <c r="E852" i="18"/>
  <c r="E851" i="18"/>
  <c r="E850" i="18"/>
  <c r="J850" i="18" s="1"/>
  <c r="F1144" i="18"/>
  <c r="F1154" i="18"/>
  <c r="G1155" i="18" s="1"/>
  <c r="E2024" i="18"/>
  <c r="E2040" i="18" s="1"/>
  <c r="E2038" i="18"/>
  <c r="G831" i="18"/>
  <c r="G760" i="18"/>
  <c r="G764" i="18" s="1"/>
  <c r="G2040" i="18"/>
  <c r="I2412" i="18"/>
  <c r="I2423" i="18" s="1"/>
  <c r="E2384" i="18"/>
  <c r="F2384" i="18"/>
  <c r="I2473" i="18"/>
  <c r="J2472" i="18"/>
  <c r="J1155" i="18"/>
  <c r="V1154" i="18"/>
  <c r="J1158" i="18"/>
  <c r="F2438" i="18"/>
  <c r="G2415" i="18"/>
  <c r="H2423" i="18"/>
  <c r="G2423" i="18"/>
  <c r="G1034" i="18"/>
  <c r="F1001" i="18"/>
  <c r="F1006" i="18" s="1"/>
  <c r="F872" i="18"/>
  <c r="F887" i="18" s="1"/>
  <c r="F889" i="18" s="1"/>
  <c r="F785" i="18"/>
  <c r="F1967" i="18"/>
  <c r="F1980" i="18" s="1"/>
  <c r="I2737" i="18"/>
  <c r="I2740" i="18" s="1"/>
  <c r="H2747" i="18"/>
  <c r="H2741" i="18"/>
  <c r="S1154" i="18"/>
  <c r="Y1154" i="18" s="1"/>
  <c r="G1158" i="18"/>
  <c r="H1155" i="18"/>
  <c r="E2438" i="18"/>
  <c r="G2473" i="18"/>
  <c r="I2025" i="18"/>
  <c r="I2037" i="18"/>
  <c r="I2020" i="18"/>
  <c r="I2024" i="18"/>
  <c r="I2040" i="18" s="1"/>
  <c r="H2852" i="18"/>
  <c r="I2846" i="18" s="1"/>
  <c r="H2857" i="18"/>
  <c r="H1001" i="18"/>
  <c r="H1006" i="18" s="1"/>
  <c r="I1034" i="18"/>
  <c r="F2011" i="18"/>
  <c r="H2037" i="18"/>
  <c r="H2020" i="18"/>
  <c r="H2024" i="18"/>
  <c r="H2025" i="18" s="1"/>
  <c r="G1001" i="18"/>
  <c r="G1006" i="18" s="1"/>
  <c r="H1034" i="18"/>
  <c r="F2342" i="18"/>
  <c r="F2344" i="18" s="1"/>
  <c r="G2344" i="18"/>
  <c r="M2572" i="18"/>
  <c r="N2576" i="18"/>
  <c r="N2572" i="18" s="1"/>
  <c r="E1839" i="18"/>
  <c r="E2472" i="18"/>
  <c r="E2452" i="18"/>
  <c r="J2452" i="18" s="1"/>
  <c r="F2040" i="18"/>
  <c r="I1001" i="18"/>
  <c r="I1006" i="18" s="1"/>
  <c r="H2040" i="18"/>
  <c r="F2472" i="18"/>
  <c r="F2452" i="18"/>
  <c r="I2318" i="18"/>
  <c r="I2346" i="18"/>
  <c r="AF1073" i="18"/>
  <c r="E1001" i="18"/>
  <c r="E1006" i="18" s="1"/>
  <c r="F1034" i="18"/>
  <c r="F1035" i="18"/>
  <c r="H831" i="18" l="1"/>
  <c r="H760" i="18"/>
  <c r="H764" i="18" s="1"/>
  <c r="D1006" i="18"/>
  <c r="F791" i="18"/>
  <c r="F795" i="18" s="1"/>
  <c r="F833" i="18"/>
  <c r="F814" i="18"/>
  <c r="J864" i="18"/>
  <c r="G1159" i="18"/>
  <c r="AD1072" i="18"/>
  <c r="H1159" i="18"/>
  <c r="G872" i="18"/>
  <c r="G887" i="18" s="1"/>
  <c r="G889" i="18" s="1"/>
  <c r="G785" i="18"/>
  <c r="G1967" i="18"/>
  <c r="I831" i="18"/>
  <c r="I760" i="18"/>
  <c r="I764" i="18" s="1"/>
  <c r="F2782" i="18"/>
  <c r="F2785" i="18" s="1"/>
  <c r="F942" i="18"/>
  <c r="F946" i="18" s="1"/>
  <c r="J851" i="18"/>
  <c r="I2415" i="18"/>
  <c r="J2423" i="18"/>
  <c r="N2472" i="18"/>
  <c r="K2472" i="18"/>
  <c r="L2472" i="18" s="1"/>
  <c r="M2472" i="18" s="1"/>
  <c r="J2384" i="18"/>
  <c r="J2383" i="18" s="1"/>
  <c r="I2852" i="18"/>
  <c r="J2846" i="18" s="1"/>
  <c r="I2857" i="18"/>
  <c r="J2857" i="18" s="1"/>
  <c r="F2473" i="18"/>
  <c r="AG1072" i="18"/>
  <c r="AG1073" i="18" s="1"/>
  <c r="J1159" i="18"/>
  <c r="E2025" i="18"/>
  <c r="R1154" i="18"/>
  <c r="X1154" i="18" s="1"/>
  <c r="F1155" i="18"/>
  <c r="F1158" i="18"/>
  <c r="J852" i="18"/>
  <c r="E760" i="18"/>
  <c r="E764" i="18" s="1"/>
  <c r="E831" i="18"/>
  <c r="J831" i="18" s="1"/>
  <c r="J2737" i="18"/>
  <c r="I2747" i="18"/>
  <c r="J2765" i="18" s="1"/>
  <c r="J2851" i="18" l="1"/>
  <c r="K2851" i="18"/>
  <c r="K2852" i="18" s="1"/>
  <c r="L2846" i="18" s="1"/>
  <c r="L2851" i="18" s="1"/>
  <c r="AD1073" i="18"/>
  <c r="AE1073" i="18"/>
  <c r="E872" i="18"/>
  <c r="E887" i="18" s="1"/>
  <c r="E889" i="18" s="1"/>
  <c r="E1967" i="18"/>
  <c r="E1980" i="18" s="1"/>
  <c r="E785" i="18"/>
  <c r="H872" i="18"/>
  <c r="H887" i="18" s="1"/>
  <c r="H889" i="18" s="1"/>
  <c r="H785" i="18"/>
  <c r="H1967" i="18"/>
  <c r="F2787" i="18"/>
  <c r="I785" i="18"/>
  <c r="I872" i="18"/>
  <c r="I887" i="18" s="1"/>
  <c r="I889" i="18" s="1"/>
  <c r="I1967" i="18"/>
  <c r="K2383" i="18"/>
  <c r="G2782" i="18"/>
  <c r="G2785" i="18" s="1"/>
  <c r="G942" i="18"/>
  <c r="G946" i="18" s="1"/>
  <c r="F826" i="18"/>
  <c r="F853" i="18"/>
  <c r="F797" i="18"/>
  <c r="F843" i="18"/>
  <c r="F1159" i="18"/>
  <c r="AC1072" i="18"/>
  <c r="G791" i="18"/>
  <c r="G795" i="18" s="1"/>
  <c r="G833" i="18"/>
  <c r="G814" i="18"/>
  <c r="G826" i="18" l="1"/>
  <c r="G853" i="18"/>
  <c r="F848" i="18"/>
  <c r="F832" i="18"/>
  <c r="F1019" i="18"/>
  <c r="H2782" i="18"/>
  <c r="H2785" i="18" s="1"/>
  <c r="H942" i="18"/>
  <c r="H946" i="18" s="1"/>
  <c r="E791" i="18"/>
  <c r="E795" i="18" s="1"/>
  <c r="E814" i="18"/>
  <c r="E833" i="18"/>
  <c r="G2786" i="18"/>
  <c r="G2787" i="18"/>
  <c r="I2782" i="18"/>
  <c r="I2785" i="18" s="1"/>
  <c r="I942" i="18"/>
  <c r="I946" i="18" s="1"/>
  <c r="E2782" i="18"/>
  <c r="E2785" i="18" s="1"/>
  <c r="E942" i="18"/>
  <c r="E946" i="18" s="1"/>
  <c r="G797" i="18"/>
  <c r="G843" i="18"/>
  <c r="I791" i="18"/>
  <c r="I795" i="18" s="1"/>
  <c r="I833" i="18"/>
  <c r="I814" i="18"/>
  <c r="L2383" i="18"/>
  <c r="F837" i="18"/>
  <c r="F835" i="18"/>
  <c r="F838" i="18" s="1"/>
  <c r="L2852" i="18"/>
  <c r="M2846" i="18" s="1"/>
  <c r="H791" i="18"/>
  <c r="H795" i="18" s="1"/>
  <c r="H833" i="18"/>
  <c r="H814" i="18"/>
  <c r="E853" i="18" l="1"/>
  <c r="E826" i="18"/>
  <c r="M2383" i="18"/>
  <c r="E797" i="18"/>
  <c r="E835" i="18" s="1"/>
  <c r="E843" i="18"/>
  <c r="I826" i="18"/>
  <c r="I853" i="18"/>
  <c r="H826" i="18"/>
  <c r="H853" i="18"/>
  <c r="H797" i="18"/>
  <c r="H843" i="18"/>
  <c r="E2787" i="18"/>
  <c r="F2786" i="18"/>
  <c r="I797" i="18"/>
  <c r="I843" i="18"/>
  <c r="J2785" i="18"/>
  <c r="I2786" i="18"/>
  <c r="I2787" i="18"/>
  <c r="H2787" i="18"/>
  <c r="H2786" i="18"/>
  <c r="G836" i="18"/>
  <c r="G837" i="18"/>
  <c r="G835" i="18"/>
  <c r="G838" i="18" s="1"/>
  <c r="M2851" i="18"/>
  <c r="M2852" i="18" s="1"/>
  <c r="N2846" i="18" s="1"/>
  <c r="G848" i="18"/>
  <c r="G1019" i="18"/>
  <c r="G832" i="18"/>
  <c r="N2852" i="18" l="1"/>
  <c r="N2851" i="18"/>
  <c r="H848" i="18"/>
  <c r="H832" i="18"/>
  <c r="H1019" i="18"/>
  <c r="N2786" i="18"/>
  <c r="I832" i="18"/>
  <c r="I848" i="18"/>
  <c r="I1019" i="18"/>
  <c r="I836" i="18"/>
  <c r="I835" i="18"/>
  <c r="I838" i="18" s="1"/>
  <c r="I837" i="18"/>
  <c r="J2787" i="18"/>
  <c r="N2383" i="18"/>
  <c r="H836" i="18"/>
  <c r="H835" i="18"/>
  <c r="H838" i="18" s="1"/>
  <c r="H837" i="18"/>
  <c r="E848" i="18"/>
  <c r="E832" i="18"/>
  <c r="E1019" i="18"/>
  <c r="K2785" i="18"/>
  <c r="K2787" i="18" l="1"/>
  <c r="K2758" i="18"/>
  <c r="L2785" i="18"/>
  <c r="J2758" i="18"/>
  <c r="M2785" i="18" l="1"/>
  <c r="L2787" i="18"/>
  <c r="M2787" i="18" s="1"/>
  <c r="N2787" i="18" l="1"/>
  <c r="L2758" i="18"/>
  <c r="N2785" i="18"/>
  <c r="N2758" i="18" s="1"/>
  <c r="M2758" i="18"/>
  <c r="M669" i="4" l="1"/>
  <c r="N669" i="4"/>
  <c r="K669" i="4"/>
  <c r="J157" i="4" l="1"/>
  <c r="J586" i="4"/>
  <c r="J658" i="4"/>
  <c r="D455" i="4"/>
  <c r="D476" i="4" s="1"/>
  <c r="J430" i="4"/>
  <c r="I213" i="4"/>
  <c r="J692" i="4"/>
  <c r="K281" i="4"/>
  <c r="N281" i="4"/>
  <c r="L281" i="4"/>
  <c r="M281" i="4"/>
  <c r="J281" i="4"/>
  <c r="K559" i="4"/>
  <c r="L559" i="4" s="1"/>
  <c r="M559" i="4" s="1"/>
  <c r="N559" i="4" s="1"/>
  <c r="I504" i="4"/>
  <c r="J502" i="4" s="1"/>
  <c r="C471" i="4"/>
  <c r="C375" i="4"/>
  <c r="C374" i="4"/>
  <c r="C146" i="4"/>
  <c r="K282" i="4"/>
  <c r="I677" i="4" l="1"/>
  <c r="J675" i="4" s="1"/>
  <c r="K151" i="4"/>
  <c r="L151" i="4" s="1"/>
  <c r="M151" i="4" s="1"/>
  <c r="N151" i="4" s="1"/>
  <c r="K698" i="4"/>
  <c r="K699" i="4"/>
  <c r="M699" i="4"/>
  <c r="M713" i="4" s="1"/>
  <c r="M714" i="4" s="1"/>
  <c r="N699" i="4"/>
  <c r="N713" i="4" s="1"/>
  <c r="N714" i="4" s="1"/>
  <c r="K700" i="4"/>
  <c r="L700" i="4"/>
  <c r="M700" i="4"/>
  <c r="N700" i="4"/>
  <c r="L157" i="2"/>
  <c r="L698" i="4" s="1"/>
  <c r="J700" i="4"/>
  <c r="J699" i="4"/>
  <c r="C698" i="4"/>
  <c r="C699" i="4"/>
  <c r="C700" i="4"/>
  <c r="C697" i="4"/>
  <c r="L158" i="2"/>
  <c r="L699" i="4" s="1"/>
  <c r="J157" i="2"/>
  <c r="J698" i="4" s="1"/>
  <c r="C646" i="4"/>
  <c r="D194" i="2"/>
  <c r="D647" i="4" s="1"/>
  <c r="D775" i="4" s="1"/>
  <c r="C194" i="2"/>
  <c r="C647" i="4" s="1"/>
  <c r="J644" i="4"/>
  <c r="C644" i="4"/>
  <c r="I686" i="4"/>
  <c r="J684" i="4" s="1"/>
  <c r="K685" i="4"/>
  <c r="L685" i="4" s="1"/>
  <c r="M685" i="4" s="1"/>
  <c r="N685" i="4" s="1"/>
  <c r="M157" i="2" l="1"/>
  <c r="J686" i="4"/>
  <c r="L701" i="4"/>
  <c r="L150" i="4" s="1"/>
  <c r="K701" i="4"/>
  <c r="K150" i="4" s="1"/>
  <c r="J701" i="4"/>
  <c r="J150" i="4" s="1"/>
  <c r="M698" i="4" l="1"/>
  <c r="M701" i="4" s="1"/>
  <c r="M150" i="4" s="1"/>
  <c r="N157" i="2"/>
  <c r="N698" i="4" s="1"/>
  <c r="N701" i="4" s="1"/>
  <c r="N150" i="4" s="1"/>
  <c r="K684" i="4"/>
  <c r="K686" i="4" s="1"/>
  <c r="L684" i="4" s="1"/>
  <c r="L686" i="4" s="1"/>
  <c r="J579" i="4"/>
  <c r="J591" i="4" s="1"/>
  <c r="K579" i="4" l="1"/>
  <c r="M684" i="4"/>
  <c r="M686" i="4" s="1"/>
  <c r="L579" i="4"/>
  <c r="N684" i="4" l="1"/>
  <c r="N686" i="4" s="1"/>
  <c r="N579" i="4" s="1"/>
  <c r="M579" i="4"/>
  <c r="M2" i="4" l="1"/>
  <c r="C8" i="4"/>
  <c r="C9" i="4"/>
  <c r="H9" i="4"/>
  <c r="I9" i="4"/>
  <c r="C10" i="4"/>
  <c r="H10" i="4"/>
  <c r="I10" i="4"/>
  <c r="J10" i="4" s="1"/>
  <c r="K10" i="4" s="1"/>
  <c r="L10" i="4" s="1"/>
  <c r="M10" i="4" s="1"/>
  <c r="N10" i="4" s="1"/>
  <c r="C11" i="4"/>
  <c r="E11" i="4"/>
  <c r="F11" i="4"/>
  <c r="G11" i="4"/>
  <c r="C12" i="4"/>
  <c r="E12" i="4"/>
  <c r="F12" i="4"/>
  <c r="G12" i="4"/>
  <c r="H12" i="4"/>
  <c r="I12" i="4"/>
  <c r="J12" i="4" s="1"/>
  <c r="K12" i="4" s="1"/>
  <c r="L12" i="4" s="1"/>
  <c r="M12" i="4" s="1"/>
  <c r="N12" i="4" s="1"/>
  <c r="C13" i="4"/>
  <c r="C14" i="4"/>
  <c r="E14" i="4"/>
  <c r="F14" i="4"/>
  <c r="G14" i="4"/>
  <c r="H14" i="4"/>
  <c r="I14" i="4"/>
  <c r="J14" i="4" s="1"/>
  <c r="K14" i="4" s="1"/>
  <c r="L14" i="4" s="1"/>
  <c r="M14" i="4" s="1"/>
  <c r="N14" i="4" s="1"/>
  <c r="C15" i="4"/>
  <c r="E15" i="4"/>
  <c r="F15" i="4"/>
  <c r="G15" i="4"/>
  <c r="H15" i="4"/>
  <c r="I15" i="4"/>
  <c r="J15" i="4" s="1"/>
  <c r="K15" i="4" s="1"/>
  <c r="L15" i="4" s="1"/>
  <c r="M15" i="4" s="1"/>
  <c r="N15" i="4" s="1"/>
  <c r="C16" i="4"/>
  <c r="E16" i="4"/>
  <c r="F16" i="4"/>
  <c r="G16" i="4"/>
  <c r="H16" i="4"/>
  <c r="I16" i="4"/>
  <c r="J16" i="4" s="1"/>
  <c r="K16" i="4" s="1"/>
  <c r="L16" i="4" s="1"/>
  <c r="M16" i="4" s="1"/>
  <c r="N16" i="4" s="1"/>
  <c r="C17" i="4"/>
  <c r="C18" i="4"/>
  <c r="C275" i="4" s="1"/>
  <c r="E18" i="4"/>
  <c r="F18" i="4"/>
  <c r="G18" i="4"/>
  <c r="H18" i="4"/>
  <c r="I18" i="4"/>
  <c r="I275" i="4" s="1"/>
  <c r="C19" i="4"/>
  <c r="E19" i="4"/>
  <c r="F19" i="4"/>
  <c r="G19" i="4"/>
  <c r="H19" i="4"/>
  <c r="I19" i="4"/>
  <c r="K19" i="4"/>
  <c r="L19" i="4" s="1"/>
  <c r="M19" i="4" s="1"/>
  <c r="N19" i="4" s="1"/>
  <c r="C20" i="4"/>
  <c r="C21" i="4"/>
  <c r="E21" i="4"/>
  <c r="F21" i="4"/>
  <c r="G21" i="4"/>
  <c r="H21" i="4"/>
  <c r="I21" i="4"/>
  <c r="C22" i="4"/>
  <c r="E22" i="4"/>
  <c r="F22" i="4"/>
  <c r="G22" i="4"/>
  <c r="H22" i="4"/>
  <c r="I22" i="4"/>
  <c r="C23" i="4"/>
  <c r="C53" i="4" s="1"/>
  <c r="C63" i="4" s="1"/>
  <c r="E23" i="4"/>
  <c r="E53" i="4" s="1"/>
  <c r="F23" i="4"/>
  <c r="F53" i="4" s="1"/>
  <c r="G23" i="4"/>
  <c r="G53" i="4" s="1"/>
  <c r="G63" i="4" s="1"/>
  <c r="H23" i="4"/>
  <c r="H53" i="4" s="1"/>
  <c r="H63" i="4" s="1"/>
  <c r="I23" i="4"/>
  <c r="I53" i="4" s="1"/>
  <c r="I63" i="4" s="1"/>
  <c r="C24" i="4"/>
  <c r="C25" i="4"/>
  <c r="C389" i="4" s="1"/>
  <c r="E25" i="4"/>
  <c r="F25" i="4"/>
  <c r="G25" i="4"/>
  <c r="H25" i="4"/>
  <c r="I25" i="4"/>
  <c r="I389" i="4" s="1"/>
  <c r="C26" i="4"/>
  <c r="C52" i="4" s="1"/>
  <c r="C62" i="4" s="1"/>
  <c r="H26" i="4"/>
  <c r="H52" i="4" s="1"/>
  <c r="I26" i="4"/>
  <c r="I52" i="4" s="1"/>
  <c r="J26" i="4"/>
  <c r="J52" i="4" s="1"/>
  <c r="J62" i="4" s="1"/>
  <c r="C27" i="4"/>
  <c r="C51" i="4" s="1"/>
  <c r="C61" i="4" s="1"/>
  <c r="H27" i="4"/>
  <c r="I27" i="4"/>
  <c r="C28" i="4"/>
  <c r="C59" i="4" s="1"/>
  <c r="C29" i="4"/>
  <c r="C50" i="4" s="1"/>
  <c r="G29" i="4"/>
  <c r="K29" i="4"/>
  <c r="C30" i="4"/>
  <c r="E30" i="4"/>
  <c r="F30" i="4"/>
  <c r="G30" i="4"/>
  <c r="H30" i="4"/>
  <c r="I30" i="4"/>
  <c r="C31" i="4"/>
  <c r="E31" i="4"/>
  <c r="F31" i="4"/>
  <c r="G31" i="4"/>
  <c r="H31" i="4"/>
  <c r="I31" i="4"/>
  <c r="C32" i="4"/>
  <c r="C815" i="4" s="1"/>
  <c r="C33" i="4"/>
  <c r="C816" i="4" s="1"/>
  <c r="E33" i="4"/>
  <c r="E816" i="4" s="1"/>
  <c r="F33" i="4"/>
  <c r="H816" i="4" s="1"/>
  <c r="G33" i="4"/>
  <c r="K816" i="4" s="1"/>
  <c r="H33" i="4"/>
  <c r="N816" i="4" s="1"/>
  <c r="I33" i="4"/>
  <c r="Q816" i="4" s="1"/>
  <c r="C34" i="4"/>
  <c r="C817" i="4" s="1"/>
  <c r="C36" i="4"/>
  <c r="C37" i="4"/>
  <c r="E37" i="4"/>
  <c r="F37" i="4"/>
  <c r="G37" i="4"/>
  <c r="H37" i="4"/>
  <c r="I37" i="4"/>
  <c r="C38" i="4"/>
  <c r="E38" i="4"/>
  <c r="F38" i="4"/>
  <c r="G38" i="4"/>
  <c r="H38" i="4"/>
  <c r="I38" i="4"/>
  <c r="C40" i="4"/>
  <c r="C41" i="4"/>
  <c r="C42" i="4"/>
  <c r="C91" i="4"/>
  <c r="C93" i="4"/>
  <c r="E93" i="4"/>
  <c r="F93" i="4"/>
  <c r="G93" i="4"/>
  <c r="H93" i="4"/>
  <c r="I93" i="4"/>
  <c r="C94" i="4"/>
  <c r="E94" i="4"/>
  <c r="F94" i="4"/>
  <c r="G94" i="4"/>
  <c r="H94" i="4"/>
  <c r="I94" i="4"/>
  <c r="K94" i="4"/>
  <c r="L94" i="4" s="1"/>
  <c r="M94" i="4" s="1"/>
  <c r="N94" i="4" s="1"/>
  <c r="C96" i="4"/>
  <c r="E96" i="4"/>
  <c r="F96" i="4"/>
  <c r="G96" i="4"/>
  <c r="H96" i="4"/>
  <c r="I96" i="4"/>
  <c r="C97" i="4"/>
  <c r="E97" i="4"/>
  <c r="F97" i="4"/>
  <c r="G97" i="4"/>
  <c r="H97" i="4"/>
  <c r="I97" i="4"/>
  <c r="C98" i="4"/>
  <c r="E98" i="4"/>
  <c r="F98" i="4"/>
  <c r="G98" i="4"/>
  <c r="H98" i="4"/>
  <c r="I98" i="4"/>
  <c r="C99" i="4"/>
  <c r="E99" i="4"/>
  <c r="F99" i="4"/>
  <c r="G99" i="4"/>
  <c r="H99" i="4"/>
  <c r="I99" i="4"/>
  <c r="K99" i="4"/>
  <c r="C100" i="4"/>
  <c r="E100" i="4"/>
  <c r="F100" i="4"/>
  <c r="G100" i="4"/>
  <c r="H100" i="4"/>
  <c r="I100" i="4"/>
  <c r="J100" i="4" s="1"/>
  <c r="C102" i="4"/>
  <c r="E102" i="4"/>
  <c r="F102" i="4"/>
  <c r="G102" i="4"/>
  <c r="H102" i="4"/>
  <c r="I102" i="4"/>
  <c r="C103" i="4"/>
  <c r="E103" i="4"/>
  <c r="F103" i="4"/>
  <c r="G103" i="4"/>
  <c r="H103" i="4"/>
  <c r="I103" i="4"/>
  <c r="K103" i="4"/>
  <c r="L103" i="4" s="1"/>
  <c r="M103" i="4" s="1"/>
  <c r="N103" i="4" s="1"/>
  <c r="C104" i="4"/>
  <c r="E104" i="4"/>
  <c r="F104" i="4"/>
  <c r="G104" i="4"/>
  <c r="H104" i="4"/>
  <c r="I104" i="4"/>
  <c r="J104" i="4" s="1"/>
  <c r="K104" i="4" s="1"/>
  <c r="L104" i="4" s="1"/>
  <c r="M104" i="4" s="1"/>
  <c r="N104" i="4" s="1"/>
  <c r="C106" i="4"/>
  <c r="E106" i="4"/>
  <c r="F106" i="4"/>
  <c r="G106" i="4"/>
  <c r="H106" i="4"/>
  <c r="I106" i="4"/>
  <c r="C107" i="4"/>
  <c r="E107" i="4"/>
  <c r="F107" i="4"/>
  <c r="G107" i="4"/>
  <c r="H107" i="4"/>
  <c r="I107" i="4"/>
  <c r="C108" i="4"/>
  <c r="E108" i="4"/>
  <c r="F108" i="4"/>
  <c r="G108" i="4"/>
  <c r="H108" i="4"/>
  <c r="I108" i="4"/>
  <c r="C110" i="4"/>
  <c r="C111" i="4"/>
  <c r="E111" i="4"/>
  <c r="F111" i="4"/>
  <c r="G111" i="4"/>
  <c r="H111" i="4"/>
  <c r="I111" i="4"/>
  <c r="C113" i="4"/>
  <c r="C115" i="4"/>
  <c r="C117" i="4"/>
  <c r="E117" i="4"/>
  <c r="F117" i="4"/>
  <c r="G117" i="4"/>
  <c r="H117" i="4"/>
  <c r="I117" i="4"/>
  <c r="C118" i="4"/>
  <c r="E118" i="4"/>
  <c r="F118" i="4"/>
  <c r="G118" i="4"/>
  <c r="H118" i="4"/>
  <c r="I118" i="4"/>
  <c r="K118" i="4"/>
  <c r="L118" i="4" s="1"/>
  <c r="M118" i="4" s="1"/>
  <c r="N118" i="4" s="1"/>
  <c r="C119" i="4"/>
  <c r="C120" i="4"/>
  <c r="E120" i="4"/>
  <c r="F120" i="4"/>
  <c r="G120" i="4"/>
  <c r="H120" i="4"/>
  <c r="I120" i="4"/>
  <c r="C121" i="4"/>
  <c r="C123" i="4"/>
  <c r="E123" i="4"/>
  <c r="F123" i="4"/>
  <c r="G123" i="4"/>
  <c r="H123" i="4"/>
  <c r="I123" i="4"/>
  <c r="K123" i="4"/>
  <c r="L123" i="4" s="1"/>
  <c r="M123" i="4" s="1"/>
  <c r="N123" i="4" s="1"/>
  <c r="C124" i="4"/>
  <c r="E124" i="4"/>
  <c r="F124" i="4"/>
  <c r="G124" i="4"/>
  <c r="H124" i="4"/>
  <c r="I124" i="4"/>
  <c r="K124" i="4"/>
  <c r="L124" i="4" s="1"/>
  <c r="M124" i="4" s="1"/>
  <c r="N124" i="4" s="1"/>
  <c r="C127" i="4"/>
  <c r="E127" i="4"/>
  <c r="F127" i="4"/>
  <c r="G127" i="4"/>
  <c r="H127" i="4"/>
  <c r="I127" i="4"/>
  <c r="K127" i="4"/>
  <c r="L127" i="4" s="1"/>
  <c r="M127" i="4" s="1"/>
  <c r="N127" i="4" s="1"/>
  <c r="C128" i="4"/>
  <c r="E128" i="4"/>
  <c r="F128" i="4"/>
  <c r="G128" i="4"/>
  <c r="H128" i="4"/>
  <c r="I128" i="4"/>
  <c r="J128" i="4" s="1"/>
  <c r="K128" i="4" s="1"/>
  <c r="L128" i="4" s="1"/>
  <c r="M128" i="4" s="1"/>
  <c r="N128" i="4" s="1"/>
  <c r="C129" i="4"/>
  <c r="E129" i="4"/>
  <c r="F129" i="4"/>
  <c r="G129" i="4"/>
  <c r="H129" i="4"/>
  <c r="I129" i="4"/>
  <c r="J129" i="4" s="1"/>
  <c r="K129" i="4" s="1"/>
  <c r="L129" i="4" s="1"/>
  <c r="M129" i="4" s="1"/>
  <c r="N129" i="4" s="1"/>
  <c r="C130" i="4"/>
  <c r="E130" i="4"/>
  <c r="F130" i="4"/>
  <c r="G130" i="4"/>
  <c r="H130" i="4"/>
  <c r="I130" i="4"/>
  <c r="J130" i="4" s="1"/>
  <c r="K130" i="4" s="1"/>
  <c r="L130" i="4" s="1"/>
  <c r="M130" i="4" s="1"/>
  <c r="N130" i="4" s="1"/>
  <c r="C131" i="4"/>
  <c r="E131" i="4"/>
  <c r="F131" i="4"/>
  <c r="G131" i="4"/>
  <c r="H131" i="4"/>
  <c r="I131" i="4"/>
  <c r="J131" i="4" s="1"/>
  <c r="K131" i="4" s="1"/>
  <c r="L131" i="4" s="1"/>
  <c r="M131" i="4" s="1"/>
  <c r="N131" i="4" s="1"/>
  <c r="C132" i="4"/>
  <c r="E132" i="4"/>
  <c r="F132" i="4"/>
  <c r="G132" i="4"/>
  <c r="H132" i="4"/>
  <c r="I132" i="4"/>
  <c r="J132" i="4" s="1"/>
  <c r="K132" i="4" s="1"/>
  <c r="L132" i="4" s="1"/>
  <c r="M132" i="4" s="1"/>
  <c r="N132" i="4" s="1"/>
  <c r="C133" i="4"/>
  <c r="E133" i="4"/>
  <c r="F133" i="4"/>
  <c r="G133" i="4"/>
  <c r="H133" i="4"/>
  <c r="I133" i="4"/>
  <c r="J133" i="4" s="1"/>
  <c r="K133" i="4" s="1"/>
  <c r="L133" i="4" s="1"/>
  <c r="M133" i="4" s="1"/>
  <c r="N133" i="4" s="1"/>
  <c r="C134" i="4"/>
  <c r="E134" i="4"/>
  <c r="F134" i="4"/>
  <c r="G134" i="4"/>
  <c r="H134" i="4"/>
  <c r="I134" i="4"/>
  <c r="J134" i="4" s="1"/>
  <c r="K134" i="4" s="1"/>
  <c r="L134" i="4" s="1"/>
  <c r="M134" i="4" s="1"/>
  <c r="N134" i="4" s="1"/>
  <c r="C136" i="4"/>
  <c r="E136" i="4"/>
  <c r="F136" i="4"/>
  <c r="G136" i="4"/>
  <c r="H136" i="4"/>
  <c r="I136" i="4"/>
  <c r="C137" i="4"/>
  <c r="C139" i="4"/>
  <c r="C141" i="4"/>
  <c r="E141" i="4"/>
  <c r="F141" i="4"/>
  <c r="G141" i="4"/>
  <c r="I141" i="4"/>
  <c r="C142" i="4"/>
  <c r="E142" i="4"/>
  <c r="F142" i="4"/>
  <c r="G142" i="4"/>
  <c r="H142" i="4"/>
  <c r="I142" i="4"/>
  <c r="K142" i="4"/>
  <c r="L142" i="4" s="1"/>
  <c r="M142" i="4" s="1"/>
  <c r="N142" i="4" s="1"/>
  <c r="C143" i="4"/>
  <c r="E143" i="4"/>
  <c r="E2770" i="18" s="1"/>
  <c r="F143" i="4"/>
  <c r="F2770" i="18" s="1"/>
  <c r="G143" i="4"/>
  <c r="G2770" i="18" s="1"/>
  <c r="H143" i="4"/>
  <c r="H2770" i="18" s="1"/>
  <c r="I143" i="4"/>
  <c r="I2770" i="18" s="1"/>
  <c r="E146" i="4"/>
  <c r="F146" i="4"/>
  <c r="G146" i="4"/>
  <c r="H146" i="4"/>
  <c r="I146" i="4"/>
  <c r="C147" i="4"/>
  <c r="E147" i="4"/>
  <c r="F147" i="4"/>
  <c r="G147" i="4"/>
  <c r="H147" i="4"/>
  <c r="I147" i="4"/>
  <c r="C150" i="4"/>
  <c r="E150" i="4"/>
  <c r="F150" i="4"/>
  <c r="G150" i="4"/>
  <c r="H150" i="4"/>
  <c r="I150" i="4"/>
  <c r="C151" i="4"/>
  <c r="E151" i="4"/>
  <c r="F151" i="4"/>
  <c r="G151" i="4"/>
  <c r="H151" i="4"/>
  <c r="I151" i="4"/>
  <c r="C152" i="4"/>
  <c r="E152" i="4"/>
  <c r="F152" i="4"/>
  <c r="G152" i="4"/>
  <c r="H152" i="4"/>
  <c r="I152" i="4"/>
  <c r="K152" i="4"/>
  <c r="L152" i="4" s="1"/>
  <c r="M152" i="4" s="1"/>
  <c r="N152" i="4" s="1"/>
  <c r="C153" i="4"/>
  <c r="E153" i="4"/>
  <c r="F153" i="4"/>
  <c r="G153" i="4"/>
  <c r="H153" i="4"/>
  <c r="I153" i="4"/>
  <c r="C156" i="4"/>
  <c r="E156" i="4"/>
  <c r="F156" i="4"/>
  <c r="G156" i="4"/>
  <c r="H156" i="4"/>
  <c r="I156" i="4"/>
  <c r="C157" i="4"/>
  <c r="E157" i="4"/>
  <c r="F157" i="4"/>
  <c r="G157" i="4"/>
  <c r="H157" i="4"/>
  <c r="I157" i="4"/>
  <c r="C158" i="4"/>
  <c r="E158" i="4"/>
  <c r="F158" i="4"/>
  <c r="G158" i="4"/>
  <c r="H158" i="4"/>
  <c r="I158" i="4"/>
  <c r="C159" i="4"/>
  <c r="E159" i="4"/>
  <c r="F159" i="4"/>
  <c r="G159" i="4"/>
  <c r="H159" i="4"/>
  <c r="I159" i="4"/>
  <c r="C162" i="4"/>
  <c r="H162" i="4"/>
  <c r="I162" i="4"/>
  <c r="C163" i="4"/>
  <c r="H163" i="4"/>
  <c r="I163" i="4"/>
  <c r="J163" i="4" s="1"/>
  <c r="C164" i="4"/>
  <c r="H164" i="4"/>
  <c r="I164" i="4"/>
  <c r="C165" i="4"/>
  <c r="C166" i="4"/>
  <c r="C167" i="4"/>
  <c r="E167" i="4"/>
  <c r="F167" i="4"/>
  <c r="G167" i="4"/>
  <c r="H167" i="4"/>
  <c r="I167" i="4"/>
  <c r="C168" i="4"/>
  <c r="E168" i="4"/>
  <c r="F168" i="4"/>
  <c r="G168" i="4"/>
  <c r="H168" i="4"/>
  <c r="I168" i="4"/>
  <c r="J168" i="4" s="1"/>
  <c r="K168" i="4" s="1"/>
  <c r="L168" i="4" s="1"/>
  <c r="M168" i="4" s="1"/>
  <c r="N168" i="4" s="1"/>
  <c r="C169" i="4"/>
  <c r="E169" i="4"/>
  <c r="F169" i="4"/>
  <c r="G169" i="4"/>
  <c r="H169" i="4"/>
  <c r="I169" i="4"/>
  <c r="K169" i="4"/>
  <c r="L169" i="4" s="1"/>
  <c r="M169" i="4" s="1"/>
  <c r="N169" i="4" s="1"/>
  <c r="C170" i="4"/>
  <c r="C185" i="4"/>
  <c r="C186" i="4"/>
  <c r="C340" i="4" s="1"/>
  <c r="C364" i="4" s="1"/>
  <c r="E186" i="4"/>
  <c r="F186" i="4"/>
  <c r="G186" i="4"/>
  <c r="H186" i="4"/>
  <c r="I186" i="4"/>
  <c r="I340" i="4" s="1"/>
  <c r="I368" i="4" s="1"/>
  <c r="J365" i="4" s="1"/>
  <c r="C187" i="4"/>
  <c r="C341" i="4" s="1"/>
  <c r="C380" i="4" s="1"/>
  <c r="E187" i="4"/>
  <c r="F187" i="4"/>
  <c r="G187" i="4"/>
  <c r="H187" i="4"/>
  <c r="I187" i="4"/>
  <c r="I341" i="4" s="1"/>
  <c r="I400" i="4" s="1"/>
  <c r="C188" i="4"/>
  <c r="C342" i="4" s="1"/>
  <c r="C371" i="4" s="1"/>
  <c r="E188" i="4"/>
  <c r="F188" i="4"/>
  <c r="G188" i="4"/>
  <c r="H188" i="4"/>
  <c r="I188" i="4"/>
  <c r="I342" i="4" s="1"/>
  <c r="I377" i="4" s="1"/>
  <c r="J372" i="4" s="1"/>
  <c r="C189" i="4"/>
  <c r="C343" i="4" s="1"/>
  <c r="C387" i="4" s="1"/>
  <c r="E189" i="4"/>
  <c r="F189" i="4"/>
  <c r="G189" i="4"/>
  <c r="H189" i="4"/>
  <c r="I189" i="4"/>
  <c r="I391" i="4" s="1"/>
  <c r="J388" i="4" s="1"/>
  <c r="C190" i="4"/>
  <c r="E190" i="4"/>
  <c r="F190" i="4"/>
  <c r="G190" i="4"/>
  <c r="H190" i="4"/>
  <c r="I190" i="4"/>
  <c r="J190" i="4" s="1"/>
  <c r="K190" i="4" s="1"/>
  <c r="L190" i="4" s="1"/>
  <c r="M190" i="4" s="1"/>
  <c r="N190" i="4" s="1"/>
  <c r="C191" i="4"/>
  <c r="E191" i="4"/>
  <c r="I191" i="4"/>
  <c r="J191" i="4" s="1"/>
  <c r="K191" i="4" s="1"/>
  <c r="L191" i="4" s="1"/>
  <c r="M191" i="4" s="1"/>
  <c r="N191" i="4" s="1"/>
  <c r="C192" i="4"/>
  <c r="C411" i="4" s="1"/>
  <c r="E192" i="4"/>
  <c r="F192" i="4"/>
  <c r="K192" i="4"/>
  <c r="L192" i="4" s="1"/>
  <c r="M192" i="4" s="1"/>
  <c r="N192" i="4" s="1"/>
  <c r="C193" i="4"/>
  <c r="C196" i="4"/>
  <c r="C197" i="4"/>
  <c r="C261" i="4" s="1"/>
  <c r="E197" i="4"/>
  <c r="F197" i="4"/>
  <c r="G197" i="4"/>
  <c r="H197" i="4"/>
  <c r="I197" i="4"/>
  <c r="I261" i="4" s="1"/>
  <c r="C198" i="4"/>
  <c r="C262" i="4" s="1"/>
  <c r="E198" i="4"/>
  <c r="F198" i="4"/>
  <c r="G198" i="4"/>
  <c r="H198" i="4"/>
  <c r="I198" i="4"/>
  <c r="I262" i="4" s="1"/>
  <c r="C199" i="4"/>
  <c r="C263" i="4" s="1"/>
  <c r="E199" i="4"/>
  <c r="F199" i="4"/>
  <c r="G199" i="4"/>
  <c r="H199" i="4"/>
  <c r="I199" i="4"/>
  <c r="I263" i="4" s="1"/>
  <c r="C200" i="4"/>
  <c r="E200" i="4"/>
  <c r="F200" i="4"/>
  <c r="G200" i="4"/>
  <c r="H200" i="4"/>
  <c r="I200" i="4"/>
  <c r="J200" i="4" s="1"/>
  <c r="K200" i="4" s="1"/>
  <c r="L200" i="4" s="1"/>
  <c r="M200" i="4" s="1"/>
  <c r="N200" i="4" s="1"/>
  <c r="C201" i="4"/>
  <c r="C412" i="4" s="1"/>
  <c r="H201" i="4"/>
  <c r="K201" i="4"/>
  <c r="L201" i="4" s="1"/>
  <c r="M201" i="4" s="1"/>
  <c r="N201" i="4" s="1"/>
  <c r="C202" i="4"/>
  <c r="C590" i="4" s="1"/>
  <c r="C587" i="4" s="1"/>
  <c r="E202" i="4"/>
  <c r="F202" i="4"/>
  <c r="G202" i="4"/>
  <c r="H202" i="4"/>
  <c r="I202" i="4"/>
  <c r="C203" i="4"/>
  <c r="C205" i="4"/>
  <c r="C207" i="4"/>
  <c r="C208" i="4"/>
  <c r="C575" i="4" s="1"/>
  <c r="E208" i="4"/>
  <c r="E575" i="4" s="1"/>
  <c r="F208" i="4"/>
  <c r="G208" i="4"/>
  <c r="G575" i="4" s="1"/>
  <c r="H208" i="4"/>
  <c r="I208" i="4"/>
  <c r="I575" i="4" s="1"/>
  <c r="C209" i="4"/>
  <c r="C692" i="4" s="1"/>
  <c r="H209" i="4"/>
  <c r="H692" i="4" s="1"/>
  <c r="I209" i="4"/>
  <c r="C210" i="4"/>
  <c r="C267" i="4" s="1"/>
  <c r="E210" i="4"/>
  <c r="F210" i="4"/>
  <c r="G210" i="4"/>
  <c r="H210" i="4"/>
  <c r="I210" i="4"/>
  <c r="I267" i="4" s="1"/>
  <c r="C211" i="4"/>
  <c r="C747" i="4" s="1"/>
  <c r="E211" i="4"/>
  <c r="E747" i="4" s="1"/>
  <c r="F211" i="4"/>
  <c r="F747" i="4" s="1"/>
  <c r="G211" i="4"/>
  <c r="G747" i="4" s="1"/>
  <c r="H211" i="4"/>
  <c r="H747" i="4" s="1"/>
  <c r="I211" i="4"/>
  <c r="C212" i="4"/>
  <c r="E212" i="4"/>
  <c r="F212" i="4"/>
  <c r="G212" i="4"/>
  <c r="H212" i="4"/>
  <c r="I212" i="4"/>
  <c r="J212" i="4" s="1"/>
  <c r="K212" i="4" s="1"/>
  <c r="L212" i="4" s="1"/>
  <c r="M212" i="4" s="1"/>
  <c r="N212" i="4" s="1"/>
  <c r="C213" i="4"/>
  <c r="C414" i="4" s="1"/>
  <c r="E213" i="4"/>
  <c r="F213" i="4"/>
  <c r="G213" i="4"/>
  <c r="J213" i="4"/>
  <c r="K213" i="4" s="1"/>
  <c r="L213" i="4" s="1"/>
  <c r="M213" i="4" s="1"/>
  <c r="N213" i="4" s="1"/>
  <c r="C214" i="4"/>
  <c r="C217" i="4"/>
  <c r="C218" i="4"/>
  <c r="C576" i="4" s="1"/>
  <c r="G218" i="4"/>
  <c r="I218" i="4"/>
  <c r="J218" i="4" s="1"/>
  <c r="K218" i="4" s="1"/>
  <c r="L218" i="4" s="1"/>
  <c r="C219" i="4"/>
  <c r="C693" i="4" s="1"/>
  <c r="E219" i="4"/>
  <c r="E693" i="4" s="1"/>
  <c r="E694" i="4" s="1"/>
  <c r="F219" i="4"/>
  <c r="F693" i="4" s="1"/>
  <c r="F694" i="4" s="1"/>
  <c r="G219" i="4"/>
  <c r="G693" i="4" s="1"/>
  <c r="G694" i="4" s="1"/>
  <c r="H219" i="4"/>
  <c r="I219" i="4"/>
  <c r="I693" i="4" s="1"/>
  <c r="C220" i="4"/>
  <c r="E220" i="4"/>
  <c r="F220" i="4"/>
  <c r="G220" i="4"/>
  <c r="H220" i="4"/>
  <c r="I220" i="4"/>
  <c r="C221" i="4"/>
  <c r="C748" i="4" s="1"/>
  <c r="E221" i="4"/>
  <c r="E748" i="4" s="1"/>
  <c r="F221" i="4"/>
  <c r="F748" i="4" s="1"/>
  <c r="G221" i="4"/>
  <c r="G748" i="4" s="1"/>
  <c r="H221" i="4"/>
  <c r="H748" i="4" s="1"/>
  <c r="I221" i="4"/>
  <c r="I748" i="4" s="1"/>
  <c r="C222" i="4"/>
  <c r="F222" i="4"/>
  <c r="G222" i="4"/>
  <c r="H222" i="4"/>
  <c r="I222" i="4"/>
  <c r="J222" i="4" s="1"/>
  <c r="K222" i="4" s="1"/>
  <c r="L222" i="4" s="1"/>
  <c r="M222" i="4" s="1"/>
  <c r="N222" i="4" s="1"/>
  <c r="C223" i="4"/>
  <c r="E223" i="4"/>
  <c r="F223" i="4"/>
  <c r="G223" i="4"/>
  <c r="H223" i="4"/>
  <c r="I223" i="4"/>
  <c r="J223" i="4" s="1"/>
  <c r="K223" i="4" s="1"/>
  <c r="L223" i="4" s="1"/>
  <c r="M223" i="4" s="1"/>
  <c r="N223" i="4" s="1"/>
  <c r="C224" i="4"/>
  <c r="C415" i="4" s="1"/>
  <c r="G224" i="4"/>
  <c r="H224" i="4"/>
  <c r="I224" i="4"/>
  <c r="I415" i="4" s="1"/>
  <c r="C225" i="4"/>
  <c r="C227" i="4"/>
  <c r="C229" i="4"/>
  <c r="C232" i="4"/>
  <c r="E232" i="4"/>
  <c r="F232" i="4"/>
  <c r="G232" i="4"/>
  <c r="H232" i="4"/>
  <c r="I232" i="4"/>
  <c r="C234" i="4"/>
  <c r="C272" i="4"/>
  <c r="C276" i="4"/>
  <c r="C280" i="4"/>
  <c r="J280" i="4"/>
  <c r="K280" i="4"/>
  <c r="L280" i="4"/>
  <c r="M280" i="4"/>
  <c r="N280" i="4"/>
  <c r="C281" i="4"/>
  <c r="C282" i="4"/>
  <c r="J282" i="4"/>
  <c r="L282" i="4"/>
  <c r="M282" i="4"/>
  <c r="N282" i="4"/>
  <c r="C284" i="4"/>
  <c r="C309" i="4" s="1"/>
  <c r="J284" i="4"/>
  <c r="J309" i="4" s="1"/>
  <c r="C285" i="4"/>
  <c r="J285" i="4"/>
  <c r="C286" i="4"/>
  <c r="C310" i="4" s="1"/>
  <c r="J286" i="4"/>
  <c r="C287" i="4"/>
  <c r="C311" i="4" s="1"/>
  <c r="J287" i="4"/>
  <c r="C288" i="4"/>
  <c r="C312" i="4" s="1"/>
  <c r="J288" i="4"/>
  <c r="C289" i="4"/>
  <c r="C313" i="4" s="1"/>
  <c r="J289" i="4"/>
  <c r="C290" i="4"/>
  <c r="J290" i="4"/>
  <c r="C292" i="4"/>
  <c r="C319" i="4" s="1"/>
  <c r="J292" i="4"/>
  <c r="C293" i="4"/>
  <c r="C320" i="4" s="1"/>
  <c r="J293" i="4"/>
  <c r="K293" i="4"/>
  <c r="L293" i="4"/>
  <c r="M293" i="4"/>
  <c r="N293" i="4"/>
  <c r="C295" i="4"/>
  <c r="C321" i="4" s="1"/>
  <c r="J295" i="4"/>
  <c r="C296" i="4"/>
  <c r="C322" i="4" s="1"/>
  <c r="J296" i="4"/>
  <c r="C297" i="4"/>
  <c r="C323" i="4" s="1"/>
  <c r="J297" i="4"/>
  <c r="J323" i="4" s="1"/>
  <c r="K323" i="4" s="1"/>
  <c r="L323" i="4" s="1"/>
  <c r="M323" i="4" s="1"/>
  <c r="N323" i="4" s="1"/>
  <c r="C299" i="4"/>
  <c r="C328" i="4" s="1"/>
  <c r="C325" i="4" s="1"/>
  <c r="C300" i="4"/>
  <c r="C329" i="4" s="1"/>
  <c r="J300" i="4"/>
  <c r="C301" i="4"/>
  <c r="C330" i="4" s="1"/>
  <c r="J301" i="4"/>
  <c r="C302" i="4"/>
  <c r="C331" i="4" s="1"/>
  <c r="J302" i="4"/>
  <c r="C303" i="4"/>
  <c r="C332" i="4" s="1"/>
  <c r="J303" i="4"/>
  <c r="C304" i="4"/>
  <c r="C333" i="4" s="1"/>
  <c r="J304" i="4"/>
  <c r="J333" i="4" s="1"/>
  <c r="C305" i="4"/>
  <c r="C334" i="4" s="1"/>
  <c r="J305" i="4"/>
  <c r="J334" i="4" s="1"/>
  <c r="K334" i="4" s="1"/>
  <c r="L334" i="4" s="1"/>
  <c r="M334" i="4" s="1"/>
  <c r="N334" i="4" s="1"/>
  <c r="C345" i="4"/>
  <c r="M345" i="4"/>
  <c r="N345" i="4"/>
  <c r="C346" i="4"/>
  <c r="C348" i="4"/>
  <c r="C349" i="4"/>
  <c r="J349" i="4"/>
  <c r="C350" i="4"/>
  <c r="J350" i="4"/>
  <c r="C351" i="4"/>
  <c r="C402" i="4" s="1"/>
  <c r="J351" i="4"/>
  <c r="C352" i="4"/>
  <c r="C403" i="4" s="1"/>
  <c r="J352" i="4"/>
  <c r="C353" i="4"/>
  <c r="J353" i="4"/>
  <c r="C354" i="4"/>
  <c r="C398" i="4" s="1"/>
  <c r="J354" i="4"/>
  <c r="C355" i="4"/>
  <c r="C399" i="4" s="1"/>
  <c r="J355" i="4"/>
  <c r="C356" i="4"/>
  <c r="C357" i="4"/>
  <c r="J357" i="4"/>
  <c r="C358" i="4"/>
  <c r="J358" i="4"/>
  <c r="C359" i="4"/>
  <c r="J359" i="4"/>
  <c r="C390" i="4"/>
  <c r="I411" i="4"/>
  <c r="J411" i="4" s="1"/>
  <c r="K411" i="4" s="1"/>
  <c r="L411" i="4" s="1"/>
  <c r="M411" i="4" s="1"/>
  <c r="N411" i="4" s="1"/>
  <c r="I412" i="4"/>
  <c r="J412" i="4" s="1"/>
  <c r="K412" i="4" s="1"/>
  <c r="L412" i="4" s="1"/>
  <c r="M412" i="4" s="1"/>
  <c r="N412" i="4" s="1"/>
  <c r="C418" i="4"/>
  <c r="J420" i="4"/>
  <c r="D822" i="4" s="1"/>
  <c r="C421" i="4"/>
  <c r="C430" i="4" s="1"/>
  <c r="J421" i="4"/>
  <c r="C422" i="4"/>
  <c r="C431" i="4" s="1"/>
  <c r="J422" i="4"/>
  <c r="J441" i="4"/>
  <c r="K441" i="4" s="1"/>
  <c r="L441" i="4" s="1"/>
  <c r="M441" i="4" s="1"/>
  <c r="N441" i="4" s="1"/>
  <c r="J444" i="4"/>
  <c r="K444" i="4" s="1"/>
  <c r="L444" i="4" s="1"/>
  <c r="M444" i="4" s="1"/>
  <c r="N444" i="4" s="1"/>
  <c r="J445" i="4"/>
  <c r="K445" i="4" s="1"/>
  <c r="L445" i="4" s="1"/>
  <c r="M445" i="4" s="1"/>
  <c r="N445" i="4" s="1"/>
  <c r="J446" i="4"/>
  <c r="K446" i="4" s="1"/>
  <c r="L446" i="4" s="1"/>
  <c r="M446" i="4" s="1"/>
  <c r="N446" i="4" s="1"/>
  <c r="J447" i="4"/>
  <c r="K447" i="4" s="1"/>
  <c r="L447" i="4" s="1"/>
  <c r="M447" i="4" s="1"/>
  <c r="N447" i="4" s="1"/>
  <c r="I449" i="4"/>
  <c r="I451" i="4" s="1"/>
  <c r="C455" i="4"/>
  <c r="C476" i="4" s="1"/>
  <c r="C456" i="4"/>
  <c r="C512" i="4" s="1"/>
  <c r="C475" i="4" s="1"/>
  <c r="J456" i="4"/>
  <c r="C457" i="4"/>
  <c r="J457" i="4"/>
  <c r="C458" i="4"/>
  <c r="C483" i="4" s="1"/>
  <c r="J483" i="4"/>
  <c r="J489" i="4" s="1"/>
  <c r="C459" i="4"/>
  <c r="J143" i="4"/>
  <c r="J2770" i="18" s="1"/>
  <c r="J2772" i="18" s="1"/>
  <c r="C461" i="4"/>
  <c r="J461" i="4"/>
  <c r="C463" i="4"/>
  <c r="J463" i="4"/>
  <c r="C464" i="4"/>
  <c r="D464" i="4"/>
  <c r="J464" i="4"/>
  <c r="C465" i="4"/>
  <c r="J465" i="4"/>
  <c r="J535" i="4" s="1"/>
  <c r="K535" i="4" s="1"/>
  <c r="L535" i="4" s="1"/>
  <c r="M535" i="4" s="1"/>
  <c r="N535" i="4" s="1"/>
  <c r="C466" i="4"/>
  <c r="J466" i="4"/>
  <c r="C467" i="4"/>
  <c r="J467" i="4"/>
  <c r="C469" i="4"/>
  <c r="C470" i="4"/>
  <c r="J470" i="4"/>
  <c r="K470" i="4"/>
  <c r="L470" i="4"/>
  <c r="M470" i="4"/>
  <c r="N470" i="4"/>
  <c r="J471" i="4"/>
  <c r="J494" i="4" s="1"/>
  <c r="C472" i="4"/>
  <c r="J472" i="4"/>
  <c r="I513" i="4"/>
  <c r="J511" i="4" s="1"/>
  <c r="I522" i="4"/>
  <c r="J516" i="4" s="1"/>
  <c r="C526" i="4"/>
  <c r="I529" i="4"/>
  <c r="J527" i="4" s="1"/>
  <c r="I536" i="4"/>
  <c r="J533" i="4" s="1"/>
  <c r="I544" i="4"/>
  <c r="J540" i="4" s="1"/>
  <c r="C597" i="4"/>
  <c r="C598" i="4"/>
  <c r="C601" i="4"/>
  <c r="J601" i="4"/>
  <c r="C603" i="4"/>
  <c r="J603" i="4"/>
  <c r="C606" i="4"/>
  <c r="C607" i="4"/>
  <c r="I607" i="4"/>
  <c r="C608" i="4"/>
  <c r="I608" i="4"/>
  <c r="C609" i="4"/>
  <c r="I609" i="4"/>
  <c r="I720" i="4" s="1"/>
  <c r="J718" i="4" s="1"/>
  <c r="J719" i="4" s="1"/>
  <c r="C611" i="4"/>
  <c r="C612" i="4"/>
  <c r="D612" i="4"/>
  <c r="C613" i="4"/>
  <c r="D613" i="4"/>
  <c r="C616" i="4"/>
  <c r="C617" i="4"/>
  <c r="D617" i="4"/>
  <c r="D727" i="4" s="1"/>
  <c r="C618" i="4"/>
  <c r="D618" i="4"/>
  <c r="D728" i="4" s="1"/>
  <c r="C620" i="4"/>
  <c r="J621" i="4"/>
  <c r="L622" i="4"/>
  <c r="C625" i="4"/>
  <c r="C626" i="4"/>
  <c r="J626" i="4"/>
  <c r="D761" i="4" s="1"/>
  <c r="C627" i="4"/>
  <c r="C628" i="4"/>
  <c r="I628" i="4"/>
  <c r="C629" i="4"/>
  <c r="I629" i="4"/>
  <c r="C632" i="4"/>
  <c r="C633" i="4"/>
  <c r="C635" i="4"/>
  <c r="C636" i="4"/>
  <c r="D636" i="4"/>
  <c r="C637" i="4"/>
  <c r="D637" i="4"/>
  <c r="C640" i="4"/>
  <c r="C642" i="4"/>
  <c r="I642" i="4"/>
  <c r="C643" i="4"/>
  <c r="C649" i="4"/>
  <c r="C651" i="4"/>
  <c r="D651" i="4"/>
  <c r="E552" i="4"/>
  <c r="F552" i="4"/>
  <c r="G552" i="4"/>
  <c r="H552" i="4"/>
  <c r="I552" i="4"/>
  <c r="E560" i="4"/>
  <c r="F560" i="4"/>
  <c r="G560" i="4"/>
  <c r="H560" i="4"/>
  <c r="I560" i="4"/>
  <c r="E576" i="4"/>
  <c r="F576" i="4"/>
  <c r="H576" i="4"/>
  <c r="E582" i="4"/>
  <c r="F582" i="4"/>
  <c r="G582" i="4"/>
  <c r="H582" i="4"/>
  <c r="I582" i="4"/>
  <c r="C687" i="4"/>
  <c r="L692" i="4"/>
  <c r="M692" i="4"/>
  <c r="C591" i="4"/>
  <c r="E591" i="4"/>
  <c r="F591" i="4"/>
  <c r="G591" i="4"/>
  <c r="H591" i="4"/>
  <c r="I591" i="4"/>
  <c r="E587" i="4"/>
  <c r="E590" i="4" s="1"/>
  <c r="F587" i="4"/>
  <c r="F590" i="4" s="1"/>
  <c r="G587" i="4"/>
  <c r="G590" i="4" s="1"/>
  <c r="H587" i="4"/>
  <c r="H590" i="4" s="1"/>
  <c r="I587" i="4"/>
  <c r="I773" i="4" s="1"/>
  <c r="J771" i="4" s="1"/>
  <c r="J776" i="4" s="1"/>
  <c r="J558" i="4" s="1"/>
  <c r="G779" i="4"/>
  <c r="E740" i="4"/>
  <c r="F740" i="4"/>
  <c r="G740" i="4"/>
  <c r="H740" i="4"/>
  <c r="I740" i="4"/>
  <c r="J734" i="4" s="1"/>
  <c r="C752" i="4"/>
  <c r="C753" i="4"/>
  <c r="E760" i="4"/>
  <c r="F752" i="4" s="1"/>
  <c r="F760" i="4" s="1"/>
  <c r="G752" i="4" s="1"/>
  <c r="G760" i="4" s="1"/>
  <c r="H752" i="4" s="1"/>
  <c r="H760" i="4" s="1"/>
  <c r="I752" i="4" s="1"/>
  <c r="I760" i="4" s="1"/>
  <c r="J752" i="4" s="1"/>
  <c r="J757" i="4" s="1"/>
  <c r="J563" i="4" s="1"/>
  <c r="D185" i="2"/>
  <c r="D650" i="4" s="1"/>
  <c r="C185" i="2"/>
  <c r="C650" i="4" s="1"/>
  <c r="D182" i="2"/>
  <c r="I4" i="2"/>
  <c r="J4" i="2"/>
  <c r="H4" i="8"/>
  <c r="G4" i="8" s="1"/>
  <c r="I815" i="4" l="1"/>
  <c r="I816" i="4" s="1"/>
  <c r="F63" i="4"/>
  <c r="E63" i="4"/>
  <c r="F815" i="4"/>
  <c r="F816" i="4" s="1"/>
  <c r="G816" i="4" s="1"/>
  <c r="E70" i="4" s="1"/>
  <c r="L29" i="4"/>
  <c r="K50" i="4"/>
  <c r="J816" i="4"/>
  <c r="F70" i="4" s="1"/>
  <c r="H62" i="4"/>
  <c r="I62" i="4"/>
  <c r="I791" i="4"/>
  <c r="H791" i="4"/>
  <c r="H51" i="4"/>
  <c r="H790" i="4"/>
  <c r="I789" i="4"/>
  <c r="F789" i="4"/>
  <c r="E789" i="4"/>
  <c r="C48" i="4"/>
  <c r="C787" i="4"/>
  <c r="G50" i="4"/>
  <c r="L815" i="4" s="1"/>
  <c r="L816" i="4" s="1"/>
  <c r="M816" i="4" s="1"/>
  <c r="G70" i="4" s="1"/>
  <c r="G792" i="4"/>
  <c r="H789" i="4"/>
  <c r="G789" i="4"/>
  <c r="J27" i="4"/>
  <c r="I51" i="4"/>
  <c r="J147" i="4"/>
  <c r="J146" i="4" s="1"/>
  <c r="K158" i="4"/>
  <c r="M158" i="4"/>
  <c r="L158" i="4"/>
  <c r="N158" i="4"/>
  <c r="J158" i="4"/>
  <c r="J661" i="4" s="1"/>
  <c r="F4" i="8"/>
  <c r="G4" i="2"/>
  <c r="G4" i="4" s="1"/>
  <c r="K4" i="2"/>
  <c r="C482" i="4"/>
  <c r="L2770" i="18"/>
  <c r="J4" i="6"/>
  <c r="J4" i="4"/>
  <c r="J4" i="3" s="1"/>
  <c r="I4" i="4"/>
  <c r="I4" i="6"/>
  <c r="H4" i="2"/>
  <c r="C274" i="4"/>
  <c r="C8" i="6"/>
  <c r="J550" i="4"/>
  <c r="J475" i="4"/>
  <c r="J476" i="4" s="1"/>
  <c r="J512" i="4" s="1"/>
  <c r="J164" i="4"/>
  <c r="J542" i="4" s="1"/>
  <c r="J659" i="4"/>
  <c r="J490" i="4"/>
  <c r="J376" i="4"/>
  <c r="L99" i="4"/>
  <c r="K100" i="4"/>
  <c r="L100" i="4" s="1"/>
  <c r="M100" i="4" s="1"/>
  <c r="N100" i="4" s="1"/>
  <c r="J519" i="4"/>
  <c r="J739" i="4"/>
  <c r="J105" i="4" s="1"/>
  <c r="K26" i="4"/>
  <c r="J390" i="4"/>
  <c r="J391" i="4" s="1"/>
  <c r="J367" i="4"/>
  <c r="J96" i="4" s="1"/>
  <c r="J331" i="4"/>
  <c r="K331" i="4" s="1"/>
  <c r="L331" i="4" s="1"/>
  <c r="M331" i="4" s="1"/>
  <c r="N331" i="4" s="1"/>
  <c r="J521" i="4"/>
  <c r="K163" i="4"/>
  <c r="L163" i="4" s="1"/>
  <c r="M163" i="4" s="1"/>
  <c r="N163" i="4" s="1"/>
  <c r="J568" i="4"/>
  <c r="I747" i="4"/>
  <c r="I749" i="4" s="1"/>
  <c r="H110" i="4"/>
  <c r="H113" i="4" s="1"/>
  <c r="I264" i="4"/>
  <c r="I269" i="4" s="1"/>
  <c r="F110" i="4"/>
  <c r="F113" i="4" s="1"/>
  <c r="J111" i="4"/>
  <c r="G110" i="4"/>
  <c r="G113" i="4" s="1"/>
  <c r="E110" i="4"/>
  <c r="E113" i="4" s="1"/>
  <c r="I11" i="4"/>
  <c r="I13" i="4" s="1"/>
  <c r="I17" i="4" s="1"/>
  <c r="I8" i="6" s="1"/>
  <c r="H11" i="4"/>
  <c r="H13" i="4" s="1"/>
  <c r="H17" i="4" s="1"/>
  <c r="H8" i="6" s="1"/>
  <c r="I110" i="4"/>
  <c r="I113" i="4" s="1"/>
  <c r="J541" i="4"/>
  <c r="I399" i="4"/>
  <c r="J403" i="4" s="1"/>
  <c r="I398" i="4"/>
  <c r="J402" i="4" s="1"/>
  <c r="K157" i="4"/>
  <c r="C717" i="4"/>
  <c r="I714" i="4"/>
  <c r="J712" i="4" s="1"/>
  <c r="J713" i="4" s="1"/>
  <c r="C711" i="4"/>
  <c r="C703" i="4"/>
  <c r="I554" i="4"/>
  <c r="H554" i="4"/>
  <c r="G554" i="4"/>
  <c r="F554" i="4"/>
  <c r="E554" i="4"/>
  <c r="I706" i="4"/>
  <c r="J704" i="4" s="1"/>
  <c r="J705" i="4" s="1"/>
  <c r="I590" i="4"/>
  <c r="I592" i="4" s="1"/>
  <c r="J720" i="4"/>
  <c r="K718" i="4" s="1"/>
  <c r="I343" i="4"/>
  <c r="K586" i="4"/>
  <c r="I414" i="4"/>
  <c r="J414" i="4" s="1"/>
  <c r="K414" i="4" s="1"/>
  <c r="L414" i="4" s="1"/>
  <c r="M414" i="4" s="1"/>
  <c r="N414" i="4" s="1"/>
  <c r="J536" i="4"/>
  <c r="I598" i="4"/>
  <c r="J669" i="4" s="1"/>
  <c r="E749" i="4"/>
  <c r="H214" i="4"/>
  <c r="D614" i="4"/>
  <c r="D715" i="4"/>
  <c r="I119" i="4"/>
  <c r="I121" i="4" s="1"/>
  <c r="I137" i="4" s="1"/>
  <c r="I576" i="4"/>
  <c r="J576" i="4" s="1"/>
  <c r="K576" i="4" s="1"/>
  <c r="L576" i="4" s="1"/>
  <c r="M576" i="4" s="1"/>
  <c r="N576" i="4" s="1"/>
  <c r="D721" i="4"/>
  <c r="I384" i="4"/>
  <c r="J381" i="4" s="1"/>
  <c r="H592" i="4"/>
  <c r="H749" i="4"/>
  <c r="H575" i="4"/>
  <c r="N724" i="4"/>
  <c r="M724" i="4"/>
  <c r="K724" i="4"/>
  <c r="J724" i="4"/>
  <c r="G13" i="4"/>
  <c r="G17" i="4" s="1"/>
  <c r="G8" i="6" s="1"/>
  <c r="F225" i="4"/>
  <c r="I214" i="4"/>
  <c r="E13" i="4"/>
  <c r="E17" i="4" s="1"/>
  <c r="E20" i="4" s="1"/>
  <c r="E24" i="4" s="1"/>
  <c r="E28" i="4" s="1"/>
  <c r="G39" i="4"/>
  <c r="G165" i="4"/>
  <c r="F119" i="4"/>
  <c r="F121" i="4" s="1"/>
  <c r="F137" i="4" s="1"/>
  <c r="F39" i="4"/>
  <c r="E119" i="4"/>
  <c r="H193" i="4"/>
  <c r="I193" i="4"/>
  <c r="J693" i="4"/>
  <c r="J219" i="4" s="1"/>
  <c r="F749" i="4"/>
  <c r="L724" i="4"/>
  <c r="I692" i="4"/>
  <c r="I694" i="4" s="1"/>
  <c r="E225" i="4"/>
  <c r="E39" i="4"/>
  <c r="F13" i="4"/>
  <c r="F17" i="4" s="1"/>
  <c r="G592" i="4"/>
  <c r="I203" i="4"/>
  <c r="H119" i="4"/>
  <c r="H121" i="4" s="1"/>
  <c r="H137" i="4" s="1"/>
  <c r="I39" i="4"/>
  <c r="E592" i="4"/>
  <c r="G225" i="4"/>
  <c r="F193" i="4"/>
  <c r="G214" i="4"/>
  <c r="G749" i="4"/>
  <c r="I724" i="4"/>
  <c r="G193" i="4"/>
  <c r="H225" i="4"/>
  <c r="E193" i="4"/>
  <c r="F165" i="4"/>
  <c r="E165" i="4"/>
  <c r="D652" i="4"/>
  <c r="D679" i="4" s="1"/>
  <c r="G119" i="4"/>
  <c r="G121" i="4" s="1"/>
  <c r="G137" i="4" s="1"/>
  <c r="H39" i="4"/>
  <c r="E203" i="4"/>
  <c r="I165" i="4"/>
  <c r="M209" i="4"/>
  <c r="F214" i="4"/>
  <c r="F575" i="4"/>
  <c r="L209" i="4"/>
  <c r="D638" i="4"/>
  <c r="D687" i="4" s="1"/>
  <c r="J688" i="4" s="1"/>
  <c r="J570" i="4" s="1"/>
  <c r="F592" i="4"/>
  <c r="G778" i="4"/>
  <c r="G781" i="4" s="1"/>
  <c r="H203" i="4"/>
  <c r="I225" i="4"/>
  <c r="E214" i="4"/>
  <c r="G203" i="4"/>
  <c r="J209" i="4"/>
  <c r="G576" i="4"/>
  <c r="H693" i="4"/>
  <c r="H694" i="4" s="1"/>
  <c r="M218" i="4"/>
  <c r="F203" i="4"/>
  <c r="D187" i="2"/>
  <c r="M29" i="4" l="1"/>
  <c r="L50" i="4"/>
  <c r="K390" i="4"/>
  <c r="K52" i="4"/>
  <c r="K62" i="4" s="1"/>
  <c r="K27" i="4"/>
  <c r="J51" i="4"/>
  <c r="J61" i="4" s="1"/>
  <c r="E59" i="4"/>
  <c r="E64" i="4" s="1"/>
  <c r="E67" i="4" s="1"/>
  <c r="I61" i="4"/>
  <c r="R815" i="4"/>
  <c r="R816" i="4" s="1"/>
  <c r="S816" i="4" s="1"/>
  <c r="I70" i="4" s="1"/>
  <c r="H61" i="4"/>
  <c r="O815" i="4"/>
  <c r="O816" i="4" s="1"/>
  <c r="P816" i="4" s="1"/>
  <c r="H70" i="4" s="1"/>
  <c r="J520" i="4"/>
  <c r="K147" i="4"/>
  <c r="L147" i="4" s="1"/>
  <c r="L520" i="4" s="1"/>
  <c r="J544" i="4"/>
  <c r="E32" i="4"/>
  <c r="K146" i="4"/>
  <c r="L146" i="4" s="1"/>
  <c r="M146" i="4" s="1"/>
  <c r="M534" i="4" s="1"/>
  <c r="J660" i="4"/>
  <c r="I9" i="6"/>
  <c r="H9" i="6"/>
  <c r="H4" i="6"/>
  <c r="H4" i="4"/>
  <c r="K4" i="6"/>
  <c r="K4" i="4"/>
  <c r="K4" i="3" s="1"/>
  <c r="L4" i="2"/>
  <c r="E4" i="8"/>
  <c r="E4" i="2" s="1"/>
  <c r="E4" i="4" s="1"/>
  <c r="F4" i="2"/>
  <c r="F4" i="4" s="1"/>
  <c r="G20" i="4"/>
  <c r="G24" i="4" s="1"/>
  <c r="G28" i="4" s="1"/>
  <c r="H20" i="4"/>
  <c r="H24" i="4" s="1"/>
  <c r="H28" i="4" s="1"/>
  <c r="F20" i="4"/>
  <c r="F24" i="4" s="1"/>
  <c r="F28" i="4" s="1"/>
  <c r="J528" i="4"/>
  <c r="J529" i="4" s="1"/>
  <c r="J513" i="4"/>
  <c r="J440" i="4" s="1"/>
  <c r="J97" i="4"/>
  <c r="K164" i="4"/>
  <c r="K495" i="4" s="1"/>
  <c r="K496" i="4" s="1"/>
  <c r="J663" i="4"/>
  <c r="J553" i="4"/>
  <c r="J495" i="4"/>
  <c r="J496" i="4" s="1"/>
  <c r="M99" i="4"/>
  <c r="L26" i="4"/>
  <c r="J491" i="4"/>
  <c r="K533" i="4"/>
  <c r="J443" i="4"/>
  <c r="J38" i="4"/>
  <c r="K541" i="4" s="1"/>
  <c r="K38" i="4" s="1"/>
  <c r="L541" i="4" s="1"/>
  <c r="L38" i="4" s="1"/>
  <c r="K388" i="4"/>
  <c r="H141" i="4"/>
  <c r="H165" i="4" s="1"/>
  <c r="H166" i="4" s="1"/>
  <c r="H170" i="4" s="1"/>
  <c r="K540" i="4"/>
  <c r="K519" i="4"/>
  <c r="L157" i="4"/>
  <c r="E121" i="4"/>
  <c r="E137" i="4" s="1"/>
  <c r="E166" i="4" s="1"/>
  <c r="E170" i="4" s="1"/>
  <c r="K719" i="4"/>
  <c r="K720" i="4" s="1"/>
  <c r="L718" i="4" s="1"/>
  <c r="L719" i="4" s="1"/>
  <c r="J714" i="4"/>
  <c r="K712" i="4" s="1"/>
  <c r="K688" i="4"/>
  <c r="K570" i="4" s="1"/>
  <c r="L688" i="4"/>
  <c r="L570" i="4" s="1"/>
  <c r="M688" i="4"/>
  <c r="M570" i="4" s="1"/>
  <c r="N688" i="4"/>
  <c r="N570" i="4" s="1"/>
  <c r="K591" i="4"/>
  <c r="J721" i="4"/>
  <c r="J728" i="4" s="1"/>
  <c r="K721" i="4"/>
  <c r="K728" i="4" s="1"/>
  <c r="J715" i="4"/>
  <c r="J727" i="4" s="1"/>
  <c r="L586" i="4"/>
  <c r="J740" i="4"/>
  <c r="K734" i="4" s="1"/>
  <c r="K739" i="4" s="1"/>
  <c r="K105" i="4" s="1"/>
  <c r="H227" i="4"/>
  <c r="H205" i="4"/>
  <c r="J404" i="4"/>
  <c r="J383" i="4" s="1"/>
  <c r="I227" i="4"/>
  <c r="F205" i="4"/>
  <c r="J706" i="4"/>
  <c r="D726" i="4"/>
  <c r="D707" i="4"/>
  <c r="E205" i="4"/>
  <c r="F227" i="4"/>
  <c r="G205" i="4"/>
  <c r="I205" i="4"/>
  <c r="E227" i="4"/>
  <c r="G227" i="4"/>
  <c r="L591" i="4"/>
  <c r="N218" i="4"/>
  <c r="I166" i="4"/>
  <c r="I170" i="4" s="1"/>
  <c r="I20" i="4"/>
  <c r="I24" i="4" s="1"/>
  <c r="I28" i="4" s="1"/>
  <c r="I274" i="4"/>
  <c r="G166" i="4"/>
  <c r="G170" i="4" s="1"/>
  <c r="F166" i="4"/>
  <c r="F170" i="4" s="1"/>
  <c r="E5" i="8"/>
  <c r="D177" i="2"/>
  <c r="D633" i="4" s="1"/>
  <c r="C165" i="2"/>
  <c r="C622" i="4" s="1"/>
  <c r="C166" i="2"/>
  <c r="C623" i="4" s="1"/>
  <c r="C164" i="2"/>
  <c r="C621" i="4" s="1"/>
  <c r="D149" i="2"/>
  <c r="C420" i="4"/>
  <c r="C822" i="4" s="1"/>
  <c r="G85" i="4" l="1"/>
  <c r="L534" i="4"/>
  <c r="L27" i="4"/>
  <c r="K51" i="4"/>
  <c r="K61" i="4" s="1"/>
  <c r="L390" i="4"/>
  <c r="L52" i="4"/>
  <c r="L62" i="4" s="1"/>
  <c r="N29" i="4"/>
  <c r="N50" i="4" s="1"/>
  <c r="M50" i="4"/>
  <c r="E787" i="4"/>
  <c r="E793" i="4" s="1"/>
  <c r="E815" i="4"/>
  <c r="I59" i="4"/>
  <c r="F59" i="4"/>
  <c r="H59" i="4"/>
  <c r="G59" i="4"/>
  <c r="I86" i="4"/>
  <c r="I41" i="6" s="1"/>
  <c r="E48" i="4"/>
  <c r="E54" i="4" s="1"/>
  <c r="E56" i="4" s="1"/>
  <c r="E71" i="4" s="1"/>
  <c r="E34" i="4"/>
  <c r="E817" i="4" s="1"/>
  <c r="K663" i="4"/>
  <c r="K520" i="4"/>
  <c r="H32" i="4"/>
  <c r="G32" i="4"/>
  <c r="K660" i="4"/>
  <c r="K534" i="4"/>
  <c r="K536" i="4" s="1"/>
  <c r="K443" i="4" s="1"/>
  <c r="F32" i="4"/>
  <c r="F34" i="4" s="1"/>
  <c r="K542" i="4"/>
  <c r="K544" i="4" s="1"/>
  <c r="L540" i="4" s="1"/>
  <c r="L164" i="4"/>
  <c r="L663" i="4" s="1"/>
  <c r="F85" i="4"/>
  <c r="F86" i="4"/>
  <c r="L4" i="4"/>
  <c r="L4" i="3" s="1"/>
  <c r="L4" i="6"/>
  <c r="N4" i="2"/>
  <c r="M4" i="2"/>
  <c r="H86" i="4"/>
  <c r="H41" i="6" s="1"/>
  <c r="H85" i="4"/>
  <c r="H40" i="6" s="1"/>
  <c r="I85" i="4"/>
  <c r="I40" i="6" s="1"/>
  <c r="G86" i="4"/>
  <c r="J498" i="4"/>
  <c r="J503" i="4" s="1"/>
  <c r="J504" i="4" s="1"/>
  <c r="M26" i="4"/>
  <c r="N99" i="4"/>
  <c r="K527" i="4"/>
  <c r="J442" i="4"/>
  <c r="I32" i="4"/>
  <c r="M147" i="4"/>
  <c r="M520" i="4" s="1"/>
  <c r="L660" i="4"/>
  <c r="L519" i="4"/>
  <c r="N146" i="4"/>
  <c r="N534" i="4" s="1"/>
  <c r="K511" i="4"/>
  <c r="M157" i="4"/>
  <c r="K713" i="4"/>
  <c r="K714" i="4" s="1"/>
  <c r="L712" i="4" s="1"/>
  <c r="L713" i="4" s="1"/>
  <c r="K715" i="4"/>
  <c r="K727" i="4" s="1"/>
  <c r="K729" i="4" s="1"/>
  <c r="K564" i="4" s="1"/>
  <c r="J694" i="4"/>
  <c r="K704" i="4"/>
  <c r="J450" i="4"/>
  <c r="L720" i="4"/>
  <c r="M718" i="4" s="1"/>
  <c r="M719" i="4" s="1"/>
  <c r="L721" i="4"/>
  <c r="E229" i="4"/>
  <c r="M586" i="4"/>
  <c r="H229" i="4"/>
  <c r="F229" i="4"/>
  <c r="I229" i="4"/>
  <c r="G229" i="4"/>
  <c r="J167" i="4"/>
  <c r="J189" i="4"/>
  <c r="J343" i="4"/>
  <c r="J220" i="4"/>
  <c r="M541" i="4"/>
  <c r="M38" i="4" s="1"/>
  <c r="M591" i="4"/>
  <c r="F64" i="4" l="1"/>
  <c r="F67" i="4" s="1"/>
  <c r="I64" i="4"/>
  <c r="I67" i="4" s="1"/>
  <c r="G815" i="4"/>
  <c r="G817" i="4" s="1"/>
  <c r="H64" i="4"/>
  <c r="H67" i="4" s="1"/>
  <c r="M390" i="4"/>
  <c r="M52" i="4"/>
  <c r="M62" i="4" s="1"/>
  <c r="F48" i="4"/>
  <c r="F54" i="4" s="1"/>
  <c r="F56" i="4" s="1"/>
  <c r="F71" i="4" s="1"/>
  <c r="M27" i="4"/>
  <c r="L51" i="4"/>
  <c r="L61" i="4" s="1"/>
  <c r="G64" i="4"/>
  <c r="G67" i="4" s="1"/>
  <c r="H817" i="4"/>
  <c r="F787" i="4"/>
  <c r="F793" i="4" s="1"/>
  <c r="H815" i="4"/>
  <c r="G48" i="4"/>
  <c r="G54" i="4" s="1"/>
  <c r="G56" i="4" s="1"/>
  <c r="G71" i="4" s="1"/>
  <c r="K815" i="4"/>
  <c r="I787" i="4"/>
  <c r="I793" i="4" s="1"/>
  <c r="Q815" i="4"/>
  <c r="S815" i="4" s="1"/>
  <c r="S817" i="4" s="1"/>
  <c r="H787" i="4"/>
  <c r="H793" i="4" s="1"/>
  <c r="N815" i="4"/>
  <c r="G34" i="4"/>
  <c r="G787" i="4"/>
  <c r="G793" i="4" s="1"/>
  <c r="H48" i="4"/>
  <c r="H54" i="4" s="1"/>
  <c r="H56" i="4" s="1"/>
  <c r="H71" i="4" s="1"/>
  <c r="H34" i="4"/>
  <c r="H39" i="6" s="1"/>
  <c r="F87" i="4"/>
  <c r="I34" i="4"/>
  <c r="I48" i="4"/>
  <c r="I54" i="4" s="1"/>
  <c r="I56" i="4" s="1"/>
  <c r="I71" i="4" s="1"/>
  <c r="L542" i="4"/>
  <c r="L544" i="4" s="1"/>
  <c r="M540" i="4" s="1"/>
  <c r="L495" i="4"/>
  <c r="L496" i="4" s="1"/>
  <c r="M164" i="4"/>
  <c r="N164" i="4" s="1"/>
  <c r="N4" i="6"/>
  <c r="N4" i="4"/>
  <c r="N4" i="3" s="1"/>
  <c r="M4" i="6"/>
  <c r="M4" i="4"/>
  <c r="M4" i="3" s="1"/>
  <c r="J324" i="4"/>
  <c r="K502" i="4"/>
  <c r="N26" i="4"/>
  <c r="N52" i="4" s="1"/>
  <c r="N62" i="4" s="1"/>
  <c r="N390" i="4"/>
  <c r="L533" i="4"/>
  <c r="L536" i="4" s="1"/>
  <c r="M533" i="4" s="1"/>
  <c r="M536" i="4" s="1"/>
  <c r="N533" i="4" s="1"/>
  <c r="N536" i="4" s="1"/>
  <c r="N443" i="4" s="1"/>
  <c r="J666" i="4"/>
  <c r="J766" i="4"/>
  <c r="K450" i="4"/>
  <c r="M660" i="4"/>
  <c r="N147" i="4"/>
  <c r="N520" i="4" s="1"/>
  <c r="N519" i="4"/>
  <c r="M519" i="4"/>
  <c r="J98" i="4"/>
  <c r="J66" i="4" s="1"/>
  <c r="N157" i="4"/>
  <c r="K705" i="4"/>
  <c r="K706" i="4" s="1"/>
  <c r="M720" i="4"/>
  <c r="M721" i="4"/>
  <c r="M728" i="4" s="1"/>
  <c r="M729" i="4" s="1"/>
  <c r="M564" i="4" s="1"/>
  <c r="L728" i="4"/>
  <c r="N586" i="4"/>
  <c r="N591" i="4"/>
  <c r="N541" i="4"/>
  <c r="N38" i="4" s="1"/>
  <c r="J815" i="4" l="1"/>
  <c r="J817" i="4" s="1"/>
  <c r="N27" i="4"/>
  <c r="N51" i="4" s="1"/>
  <c r="N61" i="4" s="1"/>
  <c r="M51" i="4"/>
  <c r="M61" i="4" s="1"/>
  <c r="M815" i="4"/>
  <c r="M817" i="4" s="1"/>
  <c r="P815" i="4"/>
  <c r="P817" i="4" s="1"/>
  <c r="K817" i="4"/>
  <c r="H87" i="4"/>
  <c r="H38" i="6" s="1"/>
  <c r="Q817" i="4"/>
  <c r="N817" i="4"/>
  <c r="G87" i="4"/>
  <c r="I87" i="4"/>
  <c r="I38" i="6" s="1"/>
  <c r="H34" i="6"/>
  <c r="M495" i="4"/>
  <c r="M496" i="4" s="1"/>
  <c r="M542" i="4"/>
  <c r="M544" i="4" s="1"/>
  <c r="M450" i="4" s="1"/>
  <c r="M663" i="4"/>
  <c r="L450" i="4"/>
  <c r="N495" i="4"/>
  <c r="N496" i="4" s="1"/>
  <c r="N542" i="4"/>
  <c r="L443" i="4"/>
  <c r="M443" i="4"/>
  <c r="K391" i="4"/>
  <c r="L388" i="4" s="1"/>
  <c r="N663" i="4"/>
  <c r="K553" i="4"/>
  <c r="N660" i="4"/>
  <c r="L704" i="4"/>
  <c r="K694" i="4"/>
  <c r="N718" i="4"/>
  <c r="K740" i="4"/>
  <c r="L734" i="4" s="1"/>
  <c r="L739" i="4" s="1"/>
  <c r="L105" i="4" s="1"/>
  <c r="I34" i="6" l="1"/>
  <c r="I39" i="6"/>
  <c r="N540" i="4"/>
  <c r="N721" i="4"/>
  <c r="N728" i="4" s="1"/>
  <c r="N729" i="4" s="1"/>
  <c r="N564" i="4" s="1"/>
  <c r="N719" i="4"/>
  <c r="N720" i="4" s="1"/>
  <c r="L705" i="4"/>
  <c r="L706" i="4" s="1"/>
  <c r="M704" i="4" s="1"/>
  <c r="K220" i="4"/>
  <c r="K189" i="4"/>
  <c r="K343" i="4"/>
  <c r="N544" i="4" l="1"/>
  <c r="N450" i="4" s="1"/>
  <c r="M705" i="4"/>
  <c r="M706" i="4" s="1"/>
  <c r="L391" i="4" l="1"/>
  <c r="M388" i="4" s="1"/>
  <c r="L553" i="4"/>
  <c r="N704" i="4"/>
  <c r="M694" i="4"/>
  <c r="L740" i="4"/>
  <c r="M734" i="4" s="1"/>
  <c r="M739" i="4" s="1"/>
  <c r="M105" i="4" s="1"/>
  <c r="U60" i="18" a="1"/>
  <c r="U60" i="18" s="1"/>
  <c r="U67" i="18" a="1"/>
  <c r="U67" i="18" s="1"/>
  <c r="U69" i="18" a="1"/>
  <c r="U69" i="18" s="1"/>
  <c r="U82" i="18" a="1"/>
  <c r="U82" i="18" s="1"/>
  <c r="U84" i="18" a="1"/>
  <c r="U84" i="18" s="1"/>
  <c r="AH471" i="8"/>
  <c r="AI471" i="8" s="1"/>
  <c r="AJ471" i="8" s="1"/>
  <c r="AK471" i="8" s="1"/>
  <c r="AL471" i="8" s="1"/>
  <c r="AL503" i="8"/>
  <c r="AM503" i="8"/>
  <c r="AL505" i="8"/>
  <c r="AM505" i="8"/>
  <c r="AJ507" i="8"/>
  <c r="AK507" i="8"/>
  <c r="AJ510" i="8"/>
  <c r="AK510" i="8"/>
  <c r="AL510" i="8"/>
  <c r="AM510" i="8"/>
  <c r="AJ512" i="8"/>
  <c r="AK512" i="8"/>
  <c r="AL512" i="8"/>
  <c r="AM512" i="8"/>
  <c r="AJ514" i="8"/>
  <c r="AK514" i="8"/>
  <c r="AL514" i="8"/>
  <c r="AM514" i="8"/>
  <c r="AL518" i="8"/>
  <c r="AM518" i="8"/>
  <c r="AI514" i="8"/>
  <c r="AI512" i="8"/>
  <c r="AI507" i="8"/>
  <c r="AI510" i="8"/>
  <c r="C45" i="2"/>
  <c r="C44" i="2"/>
  <c r="C43" i="2"/>
  <c r="C42" i="2"/>
  <c r="C40" i="2"/>
  <c r="C39" i="2"/>
  <c r="C38" i="2"/>
  <c r="J210" i="2"/>
  <c r="J462" i="4" s="1"/>
  <c r="C210" i="2"/>
  <c r="C462" i="4" s="1"/>
  <c r="N290" i="2"/>
  <c r="N598" i="4" s="1"/>
  <c r="N692" i="4" s="1"/>
  <c r="N209" i="4" s="1"/>
  <c r="K290" i="2"/>
  <c r="K598" i="4" s="1"/>
  <c r="L669" i="4" s="1"/>
  <c r="J292" i="2"/>
  <c r="J599" i="4" s="1"/>
  <c r="J291" i="2"/>
  <c r="C291" i="2"/>
  <c r="C292" i="2"/>
  <c r="C599" i="4" s="1"/>
  <c r="C289" i="2"/>
  <c r="C254" i="2"/>
  <c r="J254" i="2"/>
  <c r="K115" i="2"/>
  <c r="L115" i="2"/>
  <c r="J115" i="2"/>
  <c r="Z507" i="18"/>
  <c r="Z508" i="18"/>
  <c r="Z509" i="18" s="1"/>
  <c r="Z510" i="18" s="1"/>
  <c r="Z492" i="18"/>
  <c r="J382" i="4" l="1"/>
  <c r="J366" i="4"/>
  <c r="J368" i="4" s="1"/>
  <c r="K365" i="4" s="1"/>
  <c r="K692" i="4"/>
  <c r="K382" i="4"/>
  <c r="K120" i="4" s="1"/>
  <c r="K366" i="4"/>
  <c r="K117" i="4" s="1"/>
  <c r="L382" i="4"/>
  <c r="L120" i="4" s="1"/>
  <c r="L366" i="4"/>
  <c r="L117" i="4" s="1"/>
  <c r="N705" i="4"/>
  <c r="N706" i="4" s="1"/>
  <c r="N694" i="4" s="1"/>
  <c r="L189" i="4"/>
  <c r="L343" i="4"/>
  <c r="L220" i="4"/>
  <c r="AH475" i="8"/>
  <c r="J1049" i="18" s="1"/>
  <c r="AH472" i="8"/>
  <c r="J1046" i="18" s="1"/>
  <c r="AH480" i="8"/>
  <c r="AH483" i="8"/>
  <c r="AH486" i="8"/>
  <c r="J1060" i="18" s="1"/>
  <c r="AN514" i="8"/>
  <c r="AN510" i="8"/>
  <c r="AO510" i="8" s="1"/>
  <c r="AN512" i="8"/>
  <c r="AN503" i="8"/>
  <c r="AO503" i="8" s="1"/>
  <c r="AN505" i="8"/>
  <c r="K1060" i="18" l="1"/>
  <c r="J1061" i="18"/>
  <c r="L1061" i="18" s="1"/>
  <c r="N1061" i="18" s="1"/>
  <c r="AI480" i="8"/>
  <c r="AJ480" i="8" s="1"/>
  <c r="AK480" i="8" s="1"/>
  <c r="J1054" i="18"/>
  <c r="K1046" i="18"/>
  <c r="J1051" i="18"/>
  <c r="J1048" i="18"/>
  <c r="AI483" i="8"/>
  <c r="AJ483" i="8" s="1"/>
  <c r="J1057" i="18"/>
  <c r="J1050" i="18"/>
  <c r="K1049" i="18"/>
  <c r="L1049" i="18" s="1"/>
  <c r="M1049" i="18" s="1"/>
  <c r="N1049" i="18" s="1"/>
  <c r="J384" i="4"/>
  <c r="K381" i="4" s="1"/>
  <c r="K119" i="4"/>
  <c r="K121" i="4" s="1"/>
  <c r="L119" i="4"/>
  <c r="L121" i="4" s="1"/>
  <c r="J120" i="4"/>
  <c r="J117" i="4"/>
  <c r="K209" i="4"/>
  <c r="K693" i="4"/>
  <c r="AI472" i="8"/>
  <c r="AI475" i="8"/>
  <c r="AJ475" i="8" s="1"/>
  <c r="AN486" i="8"/>
  <c r="AK483" i="8"/>
  <c r="AL483" i="8" s="1"/>
  <c r="AI486" i="8"/>
  <c r="AO514" i="8"/>
  <c r="AP514" i="8" s="1"/>
  <c r="AQ514" i="8" s="1"/>
  <c r="AN483" i="8"/>
  <c r="AN484" i="8" s="1"/>
  <c r="AP510" i="8"/>
  <c r="AN480" i="8"/>
  <c r="AN481" i="8" s="1"/>
  <c r="AO512" i="8"/>
  <c r="AO505" i="8"/>
  <c r="AN475" i="8"/>
  <c r="AN476" i="8" s="1"/>
  <c r="AP503" i="8"/>
  <c r="AQ503" i="8" s="1"/>
  <c r="AN472" i="8"/>
  <c r="AN473" i="8" s="1"/>
  <c r="J1052" i="18" l="1"/>
  <c r="L1046" i="18"/>
  <c r="K1051" i="18"/>
  <c r="K1054" i="18"/>
  <c r="L1054" i="18" s="1"/>
  <c r="M1054" i="18" s="1"/>
  <c r="N1054" i="18" s="1"/>
  <c r="J1056" i="18"/>
  <c r="K1057" i="18"/>
  <c r="L1057" i="18" s="1"/>
  <c r="M1057" i="18" s="1"/>
  <c r="N1057" i="18" s="1"/>
  <c r="J1059" i="18"/>
  <c r="L1060" i="18"/>
  <c r="M1060" i="18" s="1"/>
  <c r="N1060" i="18" s="1"/>
  <c r="M391" i="4"/>
  <c r="M553" i="4"/>
  <c r="J341" i="4"/>
  <c r="J400" i="4" s="1"/>
  <c r="J399" i="4" s="1"/>
  <c r="K403" i="4" s="1"/>
  <c r="K219" i="4"/>
  <c r="L693" i="4"/>
  <c r="J119" i="4"/>
  <c r="J121" i="4" s="1"/>
  <c r="J340" i="4"/>
  <c r="J186" i="4"/>
  <c r="M740" i="4"/>
  <c r="N734" i="4" s="1"/>
  <c r="N739" i="4" s="1"/>
  <c r="N105" i="4" s="1"/>
  <c r="AK475" i="8"/>
  <c r="AL475" i="8" s="1"/>
  <c r="AJ472" i="8"/>
  <c r="AK472" i="8" s="1"/>
  <c r="AL472" i="8" s="1"/>
  <c r="AJ486" i="8"/>
  <c r="AL480" i="8"/>
  <c r="AO480" i="8"/>
  <c r="AO481" i="8" s="1"/>
  <c r="AO483" i="8"/>
  <c r="AP486" i="8"/>
  <c r="AP480" i="8"/>
  <c r="AO486" i="8"/>
  <c r="AO472" i="8"/>
  <c r="AO473" i="8" s="1"/>
  <c r="AP472" i="8"/>
  <c r="AQ510" i="8"/>
  <c r="AP512" i="8"/>
  <c r="AQ512" i="8" s="1"/>
  <c r="AP505" i="8"/>
  <c r="AQ505" i="8" s="1"/>
  <c r="AO475" i="8"/>
  <c r="AO476" i="8" s="1"/>
  <c r="AR503" i="8"/>
  <c r="AR514" i="8"/>
  <c r="M1046" i="18" l="1"/>
  <c r="L1051" i="18"/>
  <c r="K1052" i="18"/>
  <c r="K367" i="4"/>
  <c r="K368" i="4" s="1"/>
  <c r="L365" i="4" s="1"/>
  <c r="J398" i="4"/>
  <c r="L714" i="4"/>
  <c r="L694" i="4" s="1"/>
  <c r="M693" i="4"/>
  <c r="L219" i="4"/>
  <c r="K96" i="4"/>
  <c r="J187" i="4"/>
  <c r="M220" i="4"/>
  <c r="N388" i="4"/>
  <c r="M189" i="4"/>
  <c r="M343" i="4"/>
  <c r="AQ483" i="8"/>
  <c r="AQ475" i="8"/>
  <c r="AK486" i="8"/>
  <c r="AL486" i="8" s="1"/>
  <c r="AR486" i="8"/>
  <c r="AQ486" i="8"/>
  <c r="AQ480" i="8"/>
  <c r="AP483" i="8"/>
  <c r="AR512" i="8"/>
  <c r="AR483" i="8" s="1"/>
  <c r="AR510" i="8"/>
  <c r="AR480" i="8" s="1"/>
  <c r="AQ472" i="8"/>
  <c r="AP475" i="8"/>
  <c r="AR505" i="8"/>
  <c r="AR475" i="8" s="1"/>
  <c r="L1052" i="18" l="1"/>
  <c r="N1046" i="18"/>
  <c r="N1051" i="18" s="1"/>
  <c r="M1051" i="18"/>
  <c r="N553" i="4"/>
  <c r="M219" i="4"/>
  <c r="N693" i="4"/>
  <c r="N219" i="4" s="1"/>
  <c r="K340" i="4"/>
  <c r="K186" i="4"/>
  <c r="K402" i="4"/>
  <c r="N740" i="4"/>
  <c r="N220" i="4" s="1"/>
  <c r="AR472" i="8"/>
  <c r="N21" i="3" a="1"/>
  <c r="N21" i="3" s="1"/>
  <c r="N87" i="9" s="1"/>
  <c r="M21" i="3" a="1"/>
  <c r="M21" i="3" s="1"/>
  <c r="M87" i="9" s="1"/>
  <c r="L21" i="3" a="1"/>
  <c r="L21" i="3" s="1"/>
  <c r="L87" i="9" s="1"/>
  <c r="K21" i="3" a="1"/>
  <c r="K21" i="3" s="1"/>
  <c r="K87" i="9" s="1"/>
  <c r="J21" i="3" a="1"/>
  <c r="J21" i="3" s="1"/>
  <c r="F5" i="8"/>
  <c r="Z389" i="18"/>
  <c r="Y389" i="18"/>
  <c r="Z384" i="18"/>
  <c r="Y384" i="18"/>
  <c r="Z377" i="18"/>
  <c r="X365" i="18"/>
  <c r="X366" i="18" s="1"/>
  <c r="Y363" i="18" s="1"/>
  <c r="Z363" i="18"/>
  <c r="Z359" i="18"/>
  <c r="Y359" i="18"/>
  <c r="Z356" i="18" s="1"/>
  <c r="X359" i="18"/>
  <c r="Y356" i="18" s="1"/>
  <c r="W359" i="18"/>
  <c r="X356" i="18" s="1"/>
  <c r="V359" i="18"/>
  <c r="W356" i="18" s="1"/>
  <c r="T355" i="18"/>
  <c r="AA321" i="18"/>
  <c r="Z223" i="18"/>
  <c r="Z220" i="18"/>
  <c r="W12" i="18"/>
  <c r="W15" i="18" s="1"/>
  <c r="W19" i="18" s="1"/>
  <c r="W23" i="18" s="1"/>
  <c r="W27" i="18" s="1"/>
  <c r="W35" i="18"/>
  <c r="W60" i="18"/>
  <c r="W62" i="18"/>
  <c r="W66" i="18"/>
  <c r="W78" i="18" s="1"/>
  <c r="W97" i="18"/>
  <c r="W117" i="18"/>
  <c r="W127" i="18"/>
  <c r="W138" i="18"/>
  <c r="W149" i="18"/>
  <c r="W173" i="18"/>
  <c r="W175" i="18" s="1"/>
  <c r="W179" i="18" s="1"/>
  <c r="W174" i="18"/>
  <c r="W176" i="18"/>
  <c r="W177" i="18"/>
  <c r="W178" i="18"/>
  <c r="W180" i="18"/>
  <c r="W181" i="18"/>
  <c r="W183" i="18"/>
  <c r="W184" i="18"/>
  <c r="W185" i="18"/>
  <c r="W192" i="18" s="1"/>
  <c r="W584" i="18" s="1"/>
  <c r="W187" i="18"/>
  <c r="W197" i="18"/>
  <c r="W308" i="18"/>
  <c r="W309" i="18"/>
  <c r="W310" i="18"/>
  <c r="W488" i="18"/>
  <c r="W489" i="18"/>
  <c r="W490" i="18" s="1"/>
  <c r="W502" i="18"/>
  <c r="W511" i="18"/>
  <c r="W552" i="18"/>
  <c r="W567" i="18"/>
  <c r="W569" i="18" s="1"/>
  <c r="W575" i="18"/>
  <c r="W580" i="18"/>
  <c r="W607" i="18"/>
  <c r="W650" i="18"/>
  <c r="V356" i="18" s="1"/>
  <c r="W695" i="18"/>
  <c r="W697" i="18" s="1"/>
  <c r="I68" i="8"/>
  <c r="I64" i="8"/>
  <c r="E64" i="8"/>
  <c r="F64" i="8"/>
  <c r="G64" i="8"/>
  <c r="H64" i="8"/>
  <c r="E68" i="8"/>
  <c r="F68" i="8"/>
  <c r="G68" i="8"/>
  <c r="H68" i="8"/>
  <c r="E99" i="8"/>
  <c r="F99" i="8"/>
  <c r="G99" i="8"/>
  <c r="H99" i="8"/>
  <c r="I99" i="8"/>
  <c r="F129" i="8"/>
  <c r="F119" i="8"/>
  <c r="I119" i="8"/>
  <c r="I129" i="8"/>
  <c r="I140" i="8"/>
  <c r="E151" i="8"/>
  <c r="F151" i="8"/>
  <c r="G151" i="8"/>
  <c r="H151" i="8"/>
  <c r="I151" i="8"/>
  <c r="E140" i="8"/>
  <c r="F140" i="8"/>
  <c r="G140" i="8"/>
  <c r="H140" i="8"/>
  <c r="E129" i="8"/>
  <c r="G129" i="8"/>
  <c r="H129" i="8"/>
  <c r="E119" i="8"/>
  <c r="G119" i="8"/>
  <c r="H119" i="8"/>
  <c r="E35" i="8"/>
  <c r="F35" i="8"/>
  <c r="G35" i="8"/>
  <c r="H35" i="8"/>
  <c r="E12" i="8"/>
  <c r="F12" i="8"/>
  <c r="G12" i="8"/>
  <c r="H12" i="8"/>
  <c r="I12" i="8"/>
  <c r="I35" i="8"/>
  <c r="J9" i="4" l="1"/>
  <c r="J87" i="9"/>
  <c r="W513" i="18"/>
  <c r="W98" i="18"/>
  <c r="W102" i="18" s="1"/>
  <c r="E2500" i="18"/>
  <c r="E2475" i="18"/>
  <c r="E2519" i="18"/>
  <c r="E2606" i="18"/>
  <c r="E2433" i="18"/>
  <c r="E2437" i="18"/>
  <c r="E2435" i="18"/>
  <c r="E2707" i="18"/>
  <c r="E1071" i="18"/>
  <c r="E2431" i="18"/>
  <c r="J2431" i="18" s="1"/>
  <c r="E2440" i="18"/>
  <c r="M1052" i="18"/>
  <c r="Y390" i="18"/>
  <c r="N1052" i="18"/>
  <c r="F856" i="18"/>
  <c r="F2500" i="18"/>
  <c r="F2475" i="18"/>
  <c r="F2435" i="18"/>
  <c r="F2606" i="18"/>
  <c r="F2519" i="18"/>
  <c r="F1071" i="18"/>
  <c r="F2437" i="18"/>
  <c r="F2707" i="18"/>
  <c r="F2433" i="18"/>
  <c r="F2431" i="18"/>
  <c r="F2440" i="18"/>
  <c r="I856" i="18"/>
  <c r="I1071" i="18"/>
  <c r="I2606" i="18"/>
  <c r="I2519" i="18"/>
  <c r="I2707" i="18"/>
  <c r="I2475" i="18"/>
  <c r="I2500" i="18"/>
  <c r="I2433" i="18"/>
  <c r="I2437" i="18"/>
  <c r="I2435" i="18"/>
  <c r="I2431" i="18"/>
  <c r="I2440" i="18"/>
  <c r="H2500" i="18"/>
  <c r="H2519" i="18"/>
  <c r="H1071" i="18"/>
  <c r="H856" i="18"/>
  <c r="H2475" i="18"/>
  <c r="H2606" i="18"/>
  <c r="H2707" i="18"/>
  <c r="H2435" i="18"/>
  <c r="H2437" i="18"/>
  <c r="H2431" i="18"/>
  <c r="H2433" i="18"/>
  <c r="H2440" i="18"/>
  <c r="G2500" i="18"/>
  <c r="G2475" i="18"/>
  <c r="G2519" i="18"/>
  <c r="G856" i="18"/>
  <c r="G2606" i="18"/>
  <c r="G1071" i="18"/>
  <c r="G2707" i="18"/>
  <c r="G2431" i="18"/>
  <c r="G2437" i="18"/>
  <c r="G2440" i="18"/>
  <c r="G2433" i="18"/>
  <c r="G2435" i="18"/>
  <c r="W129" i="18"/>
  <c r="W151" i="18"/>
  <c r="W162" i="18" s="1"/>
  <c r="W182" i="18"/>
  <c r="W186" i="18" s="1"/>
  <c r="W190" i="18" s="1"/>
  <c r="W195" i="18" s="1"/>
  <c r="L367" i="4"/>
  <c r="L368" i="4" s="1"/>
  <c r="M365" i="4" s="1"/>
  <c r="K404" i="4"/>
  <c r="K383" i="4" s="1"/>
  <c r="K384" i="4" s="1"/>
  <c r="N391" i="4"/>
  <c r="I80" i="8"/>
  <c r="F80" i="8"/>
  <c r="E80" i="8"/>
  <c r="H80" i="8"/>
  <c r="G80" i="8"/>
  <c r="I15" i="8"/>
  <c r="I19" i="8" s="1"/>
  <c r="I23" i="8" s="1"/>
  <c r="H15" i="8"/>
  <c r="H19" i="8" s="1"/>
  <c r="H23" i="8" s="1"/>
  <c r="H27" i="8" s="1"/>
  <c r="G15" i="8"/>
  <c r="G19" i="8" s="1"/>
  <c r="G23" i="8" s="1"/>
  <c r="F15" i="8"/>
  <c r="F19" i="8" s="1"/>
  <c r="F23" i="8" s="1"/>
  <c r="AH492" i="8"/>
  <c r="J1066" i="18" s="1"/>
  <c r="AM507" i="8"/>
  <c r="AM520" i="8" s="1"/>
  <c r="AJ518" i="8"/>
  <c r="AK518" i="8"/>
  <c r="AL507" i="8"/>
  <c r="AI518" i="8"/>
  <c r="E15" i="8"/>
  <c r="E19" i="8" s="1"/>
  <c r="E23" i="8" s="1"/>
  <c r="E27" i="8" s="1"/>
  <c r="I153" i="8"/>
  <c r="H153" i="8"/>
  <c r="E153" i="8"/>
  <c r="G153" i="8"/>
  <c r="F153" i="8"/>
  <c r="E5" i="2"/>
  <c r="E5" i="4" s="1"/>
  <c r="F813" i="4" s="1"/>
  <c r="F5" i="2"/>
  <c r="F5" i="4" s="1"/>
  <c r="I813" i="4" s="1"/>
  <c r="G5" i="8"/>
  <c r="Z226" i="18"/>
  <c r="W585" i="18"/>
  <c r="W29" i="18"/>
  <c r="W581" i="18" s="1"/>
  <c r="W579" i="18"/>
  <c r="W198" i="18"/>
  <c r="W199" i="18" s="1"/>
  <c r="W203" i="18"/>
  <c r="H131" i="8"/>
  <c r="H155" i="8" s="1"/>
  <c r="H160" i="8" s="1"/>
  <c r="G131" i="8"/>
  <c r="G155" i="8" s="1"/>
  <c r="G160" i="8" s="1"/>
  <c r="E131" i="8"/>
  <c r="E155" i="8" s="1"/>
  <c r="E160" i="8" s="1"/>
  <c r="F131" i="8"/>
  <c r="F155" i="8" s="1"/>
  <c r="F160" i="8" s="1"/>
  <c r="I131" i="8"/>
  <c r="I155" i="8" s="1"/>
  <c r="I160" i="8" s="1"/>
  <c r="K9" i="4" l="1"/>
  <c r="K85" i="9" s="1"/>
  <c r="J85" i="9"/>
  <c r="J11" i="4"/>
  <c r="J13" i="4" s="1"/>
  <c r="J276" i="4" s="1"/>
  <c r="J2440" i="18"/>
  <c r="J2707" i="18"/>
  <c r="J2433" i="18"/>
  <c r="K1066" i="18"/>
  <c r="J1068" i="18"/>
  <c r="J1069" i="18"/>
  <c r="F2441" i="18"/>
  <c r="J2519" i="18"/>
  <c r="N1486" i="18"/>
  <c r="P1486" i="18" s="1"/>
  <c r="P1488" i="18" s="1"/>
  <c r="H844" i="18"/>
  <c r="H828" i="18" s="1"/>
  <c r="J2437" i="18"/>
  <c r="J2475" i="18"/>
  <c r="J2435" i="18"/>
  <c r="E1486" i="18"/>
  <c r="E844" i="18"/>
  <c r="E834" i="18" s="1"/>
  <c r="J2500" i="18"/>
  <c r="L96" i="4"/>
  <c r="K98" i="4"/>
  <c r="L381" i="4"/>
  <c r="L186" i="4"/>
  <c r="L340" i="4"/>
  <c r="M367" i="4" s="1"/>
  <c r="N189" i="4"/>
  <c r="N343" i="4"/>
  <c r="G100" i="8"/>
  <c r="G104" i="8" s="1"/>
  <c r="F100" i="8"/>
  <c r="F104" i="8" s="1"/>
  <c r="H100" i="8"/>
  <c r="H104" i="8" s="1"/>
  <c r="I100" i="8"/>
  <c r="I104" i="8" s="1"/>
  <c r="E100" i="8"/>
  <c r="E7" i="2"/>
  <c r="E2441" i="18" s="1"/>
  <c r="F7" i="2"/>
  <c r="AI492" i="8"/>
  <c r="AK520" i="8"/>
  <c r="AN518" i="8"/>
  <c r="AO518" i="8" s="1"/>
  <c r="AI520" i="8"/>
  <c r="AJ520" i="8"/>
  <c r="AN507" i="8"/>
  <c r="AO507" i="8" s="1"/>
  <c r="AL520" i="8"/>
  <c r="E29" i="8"/>
  <c r="E1488" i="18" s="1"/>
  <c r="H29" i="8"/>
  <c r="N1488" i="18" s="1"/>
  <c r="F27" i="8"/>
  <c r="D160" i="8"/>
  <c r="G27" i="8"/>
  <c r="H5" i="8"/>
  <c r="G5" i="2"/>
  <c r="G5" i="4" s="1"/>
  <c r="L813" i="4" s="1"/>
  <c r="W202" i="18"/>
  <c r="W204" i="18" s="1"/>
  <c r="I27" i="8"/>
  <c r="C32" i="3"/>
  <c r="C40" i="3" s="1"/>
  <c r="C48" i="3" s="1"/>
  <c r="C31" i="3"/>
  <c r="C39" i="3" s="1"/>
  <c r="C47" i="3" s="1"/>
  <c r="L9" i="4" l="1"/>
  <c r="L85" i="9" s="1"/>
  <c r="K11" i="4"/>
  <c r="K13" i="4" s="1"/>
  <c r="K2349" i="18" s="1"/>
  <c r="J2349" i="18"/>
  <c r="J17" i="4"/>
  <c r="C64" i="3"/>
  <c r="C73" i="3" s="1"/>
  <c r="C56" i="3"/>
  <c r="C65" i="3"/>
  <c r="C74" i="3" s="1"/>
  <c r="C82" i="3" s="1"/>
  <c r="C57" i="3"/>
  <c r="I844" i="18"/>
  <c r="I828" i="18" s="1"/>
  <c r="Q1486" i="18"/>
  <c r="S1486" i="18" s="1"/>
  <c r="S1488" i="18" s="1"/>
  <c r="L1066" i="18"/>
  <c r="K1069" i="18"/>
  <c r="K1070" i="18" s="1"/>
  <c r="J1070" i="18"/>
  <c r="W1072" i="18"/>
  <c r="H839" i="18"/>
  <c r="H834" i="18"/>
  <c r="F844" i="18"/>
  <c r="F828" i="18" s="1"/>
  <c r="H1486" i="18"/>
  <c r="J1486" i="18" s="1"/>
  <c r="J1488" i="18" s="1"/>
  <c r="F2470" i="18"/>
  <c r="F2348" i="18"/>
  <c r="F2447" i="18"/>
  <c r="G844" i="18"/>
  <c r="G828" i="18" s="1"/>
  <c r="K1486" i="18"/>
  <c r="M1486" i="18" s="1"/>
  <c r="M1488" i="18" s="1"/>
  <c r="E2470" i="18"/>
  <c r="E2348" i="18"/>
  <c r="E2447" i="18"/>
  <c r="M96" i="4"/>
  <c r="K341" i="4"/>
  <c r="E104" i="8"/>
  <c r="G7" i="2"/>
  <c r="AH498" i="8"/>
  <c r="AJ492" i="8"/>
  <c r="AP507" i="8"/>
  <c r="AQ507" i="8" s="1"/>
  <c r="AP518" i="8"/>
  <c r="AO520" i="8"/>
  <c r="AN520" i="8"/>
  <c r="AO492" i="8"/>
  <c r="AO495" i="8" s="1"/>
  <c r="AN492" i="8"/>
  <c r="AN495" i="8" s="1"/>
  <c r="K1" i="4"/>
  <c r="K1" i="9" s="1"/>
  <c r="C33" i="3"/>
  <c r="C41" i="3" s="1"/>
  <c r="C49" i="3" s="1"/>
  <c r="F29" i="8"/>
  <c r="H1488" i="18" s="1"/>
  <c r="G29" i="8"/>
  <c r="K1488" i="18" s="1"/>
  <c r="I5" i="8"/>
  <c r="H5" i="2"/>
  <c r="I29" i="8"/>
  <c r="Q1488" i="18" s="1"/>
  <c r="K17" i="4" l="1"/>
  <c r="K672" i="4" s="1"/>
  <c r="K2426" i="18"/>
  <c r="L11" i="4"/>
  <c r="L13" i="4" s="1"/>
  <c r="L2349" i="18" s="1"/>
  <c r="M9" i="4"/>
  <c r="M85" i="9" s="1"/>
  <c r="J672" i="4"/>
  <c r="K276" i="4"/>
  <c r="J21" i="4"/>
  <c r="J2439" i="18"/>
  <c r="J22" i="4"/>
  <c r="J274" i="4"/>
  <c r="J312" i="4" s="1"/>
  <c r="J2606" i="18"/>
  <c r="J395" i="4"/>
  <c r="J373" i="4" s="1"/>
  <c r="J753" i="4" s="1"/>
  <c r="J760" i="4" s="1"/>
  <c r="J8" i="6"/>
  <c r="J18" i="4"/>
  <c r="C66" i="3"/>
  <c r="C75" i="3" s="1"/>
  <c r="C83" i="3" s="1"/>
  <c r="C58" i="3"/>
  <c r="C81" i="3"/>
  <c r="G2470" i="18"/>
  <c r="L2471" i="18" s="1"/>
  <c r="G2391" i="18"/>
  <c r="G2392" i="18" s="1"/>
  <c r="G2447" i="18"/>
  <c r="G2448" i="18" s="1"/>
  <c r="G2348" i="18"/>
  <c r="G2426" i="18"/>
  <c r="G2427" i="18" s="1"/>
  <c r="G2441" i="18"/>
  <c r="G839" i="18"/>
  <c r="G834" i="18"/>
  <c r="M1066" i="18"/>
  <c r="L1069" i="18"/>
  <c r="L1070" i="18" s="1"/>
  <c r="F2448" i="18"/>
  <c r="I839" i="18"/>
  <c r="I834" i="18"/>
  <c r="K2471" i="18"/>
  <c r="F834" i="18"/>
  <c r="F839" i="18"/>
  <c r="H5" i="4"/>
  <c r="O813" i="4" s="1"/>
  <c r="H5" i="6"/>
  <c r="K187" i="4"/>
  <c r="K400" i="4"/>
  <c r="K1" i="8"/>
  <c r="H7" i="2"/>
  <c r="AK492" i="8"/>
  <c r="AL492" i="8" s="1"/>
  <c r="AP520" i="8"/>
  <c r="AQ518" i="8"/>
  <c r="AR518" i="8" s="1"/>
  <c r="AR507" i="8"/>
  <c r="K1" i="6"/>
  <c r="K1" i="2"/>
  <c r="I5" i="2"/>
  <c r="M2" i="3"/>
  <c r="M2" i="2"/>
  <c r="L2" i="8"/>
  <c r="M2" i="6" s="1"/>
  <c r="B11" i="16"/>
  <c r="B10" i="16"/>
  <c r="J99" i="9" l="1"/>
  <c r="M11" i="4"/>
  <c r="M13" i="4" s="1"/>
  <c r="N9" i="4"/>
  <c r="J20" i="4"/>
  <c r="J89" i="4"/>
  <c r="J377" i="4"/>
  <c r="J342" i="4" s="1"/>
  <c r="K376" i="4" s="1"/>
  <c r="K97" i="4" s="1"/>
  <c r="K66" i="4" s="1"/>
  <c r="J9" i="6"/>
  <c r="J97" i="9" s="1"/>
  <c r="J96" i="9"/>
  <c r="L276" i="4"/>
  <c r="L2426" i="18"/>
  <c r="L17" i="4"/>
  <c r="L8" i="6" s="1"/>
  <c r="L96" i="9" s="1"/>
  <c r="K18" i="4"/>
  <c r="K2606" i="18"/>
  <c r="J278" i="4"/>
  <c r="J329" i="4" s="1"/>
  <c r="J332" i="4"/>
  <c r="K395" i="4"/>
  <c r="K373" i="4" s="1"/>
  <c r="K753" i="4" s="1"/>
  <c r="K274" i="4"/>
  <c r="K278" i="4" s="1"/>
  <c r="K22" i="4"/>
  <c r="K8" i="6"/>
  <c r="J322" i="4"/>
  <c r="K21" i="4"/>
  <c r="K2439" i="18"/>
  <c r="J311" i="4"/>
  <c r="J313" i="4"/>
  <c r="J310" i="4"/>
  <c r="J275" i="4"/>
  <c r="J330" i="4" s="1"/>
  <c r="N11" i="4"/>
  <c r="N13" i="4" s="1"/>
  <c r="N2426" i="18" s="1"/>
  <c r="N85" i="9"/>
  <c r="M2426" i="18"/>
  <c r="M2349" i="18"/>
  <c r="M17" i="4"/>
  <c r="M276" i="4"/>
  <c r="N1066" i="18"/>
  <c r="N1069" i="18" s="1"/>
  <c r="M1069" i="18"/>
  <c r="M1070" i="18" s="1"/>
  <c r="H2470" i="18"/>
  <c r="H2391" i="18"/>
  <c r="H2392" i="18" s="1"/>
  <c r="H2393" i="18" s="1"/>
  <c r="H2447" i="18"/>
  <c r="H2448" i="18" s="1"/>
  <c r="H2348" i="18"/>
  <c r="H2426" i="18"/>
  <c r="H2427" i="18" s="1"/>
  <c r="H2441" i="18"/>
  <c r="I5" i="4"/>
  <c r="R813" i="4" s="1"/>
  <c r="I5" i="6"/>
  <c r="K398" i="4"/>
  <c r="L402" i="4" s="1"/>
  <c r="K399" i="4"/>
  <c r="L403" i="4" s="1"/>
  <c r="AP492" i="8"/>
  <c r="AP495" i="8" s="1"/>
  <c r="AQ520" i="8"/>
  <c r="AR520" i="8"/>
  <c r="AQ492" i="8"/>
  <c r="AQ495" i="8" s="1"/>
  <c r="AR492" i="8"/>
  <c r="AR495" i="8" s="1"/>
  <c r="J5" i="2"/>
  <c r="I7" i="2"/>
  <c r="B9" i="16"/>
  <c r="A9" i="16"/>
  <c r="E8" i="16"/>
  <c r="A8" i="16"/>
  <c r="B8" i="16"/>
  <c r="E7" i="16"/>
  <c r="E6" i="16"/>
  <c r="D7" i="16"/>
  <c r="A7" i="16"/>
  <c r="A6" i="16"/>
  <c r="B5" i="16"/>
  <c r="A5" i="16"/>
  <c r="B4" i="16"/>
  <c r="J24" i="4" l="1"/>
  <c r="J28" i="4" s="1"/>
  <c r="L21" i="4"/>
  <c r="F58" i="9"/>
  <c r="E58" i="9"/>
  <c r="K372" i="4"/>
  <c r="K377" i="4" s="1"/>
  <c r="K342" i="4" s="1"/>
  <c r="L376" i="4" s="1"/>
  <c r="L97" i="4" s="1"/>
  <c r="J321" i="4"/>
  <c r="D58" i="9"/>
  <c r="E54" i="9"/>
  <c r="J188" i="4"/>
  <c r="J193" i="4" s="1"/>
  <c r="K20" i="4"/>
  <c r="K24" i="4" s="1"/>
  <c r="K28" i="4" s="1"/>
  <c r="K59" i="4" s="1"/>
  <c r="K64" i="4" s="1"/>
  <c r="K89" i="4"/>
  <c r="K332" i="4"/>
  <c r="K275" i="4"/>
  <c r="K319" i="4" s="1"/>
  <c r="K9" i="6"/>
  <c r="K97" i="9" s="1"/>
  <c r="K96" i="9"/>
  <c r="L2439" i="18"/>
  <c r="L395" i="4"/>
  <c r="L373" i="4" s="1"/>
  <c r="L753" i="4" s="1"/>
  <c r="L274" i="4"/>
  <c r="L310" i="4" s="1"/>
  <c r="K310" i="4"/>
  <c r="L22" i="4"/>
  <c r="K322" i="4"/>
  <c r="L672" i="4"/>
  <c r="K313" i="4"/>
  <c r="L2606" i="18"/>
  <c r="M2606" i="18" s="1"/>
  <c r="N2606" i="18" s="1"/>
  <c r="O2606" i="18" s="1"/>
  <c r="K311" i="4"/>
  <c r="L18" i="4"/>
  <c r="K312" i="4"/>
  <c r="L9" i="6"/>
  <c r="L97" i="9" s="1"/>
  <c r="J59" i="4"/>
  <c r="J64" i="4" s="1"/>
  <c r="N17" i="4"/>
  <c r="N8" i="6" s="1"/>
  <c r="N96" i="9" s="1"/>
  <c r="N276" i="4"/>
  <c r="N2349" i="18"/>
  <c r="J319" i="4"/>
  <c r="K321" i="4"/>
  <c r="K329" i="4"/>
  <c r="M8" i="6"/>
  <c r="M18" i="4"/>
  <c r="M89" i="4" s="1"/>
  <c r="M21" i="4"/>
  <c r="M22" i="4"/>
  <c r="M672" i="4"/>
  <c r="M274" i="4"/>
  <c r="M395" i="4"/>
  <c r="M373" i="4" s="1"/>
  <c r="M753" i="4" s="1"/>
  <c r="M2439" i="18"/>
  <c r="I2470" i="18"/>
  <c r="N2471" i="18" s="1"/>
  <c r="I2391" i="18"/>
  <c r="I2392" i="18" s="1"/>
  <c r="I2447" i="18"/>
  <c r="I2448" i="18" s="1"/>
  <c r="I2348" i="18"/>
  <c r="D2348" i="18" s="1"/>
  <c r="I2426" i="18"/>
  <c r="I2427" i="18" s="1"/>
  <c r="J2427" i="18" s="1"/>
  <c r="J2426" i="18" s="1"/>
  <c r="J2424" i="18" s="1"/>
  <c r="I2441" i="18"/>
  <c r="N1070" i="18"/>
  <c r="J1072" i="18"/>
  <c r="M2471" i="18"/>
  <c r="J5" i="4"/>
  <c r="J5" i="3" s="1"/>
  <c r="J5" i="6"/>
  <c r="L404" i="4"/>
  <c r="L383" i="4" s="1"/>
  <c r="L384" i="4" s="1"/>
  <c r="K5" i="2"/>
  <c r="J7" i="2"/>
  <c r="H11" i="1"/>
  <c r="J67" i="4" l="1"/>
  <c r="J77" i="4"/>
  <c r="N21" i="4"/>
  <c r="J93" i="4"/>
  <c r="D62" i="9"/>
  <c r="K330" i="4"/>
  <c r="F62" i="9"/>
  <c r="F61" i="9"/>
  <c r="F67" i="9" s="1"/>
  <c r="D61" i="9"/>
  <c r="D67" i="9" s="1"/>
  <c r="K188" i="4"/>
  <c r="K193" i="4" s="1"/>
  <c r="L278" i="4"/>
  <c r="L321" i="4" s="1"/>
  <c r="L311" i="4"/>
  <c r="L313" i="4"/>
  <c r="L20" i="4"/>
  <c r="L24" i="4" s="1"/>
  <c r="L28" i="4" s="1"/>
  <c r="L93" i="4" s="1"/>
  <c r="L89" i="4"/>
  <c r="N22" i="4"/>
  <c r="N274" i="4"/>
  <c r="N311" i="4" s="1"/>
  <c r="L372" i="4"/>
  <c r="N672" i="4"/>
  <c r="N18" i="4"/>
  <c r="N20" i="4" s="1"/>
  <c r="L377" i="4"/>
  <c r="L342" i="4" s="1"/>
  <c r="M376" i="4" s="1"/>
  <c r="M97" i="4" s="1"/>
  <c r="K93" i="4"/>
  <c r="L322" i="4"/>
  <c r="J19" i="6"/>
  <c r="J20" i="6" s="1"/>
  <c r="L332" i="4"/>
  <c r="L312" i="4"/>
  <c r="J73" i="4"/>
  <c r="J79" i="4" s="1"/>
  <c r="J27" i="6" s="1"/>
  <c r="M9" i="6"/>
  <c r="M97" i="9" s="1"/>
  <c r="M96" i="9"/>
  <c r="L275" i="4"/>
  <c r="L319" i="4" s="1"/>
  <c r="N2439" i="18"/>
  <c r="N395" i="4"/>
  <c r="N373" i="4" s="1"/>
  <c r="N753" i="4" s="1"/>
  <c r="K67" i="4"/>
  <c r="K77" i="4"/>
  <c r="K19" i="6"/>
  <c r="K73" i="4"/>
  <c r="J88" i="9"/>
  <c r="J21" i="6"/>
  <c r="J78" i="4"/>
  <c r="J15" i="6" s="1"/>
  <c r="J13" i="6"/>
  <c r="J14" i="6" s="1"/>
  <c r="M20" i="4"/>
  <c r="M24" i="4" s="1"/>
  <c r="M28" i="4" s="1"/>
  <c r="M275" i="4"/>
  <c r="N9" i="6"/>
  <c r="N97" i="9" s="1"/>
  <c r="M332" i="4"/>
  <c r="M311" i="4"/>
  <c r="M322" i="4"/>
  <c r="M278" i="4"/>
  <c r="M310" i="4"/>
  <c r="M312" i="4"/>
  <c r="M313" i="4"/>
  <c r="K2424" i="18"/>
  <c r="L2424" i="18" s="1"/>
  <c r="M2441" i="18"/>
  <c r="J2470" i="18"/>
  <c r="K2470" i="18" s="1"/>
  <c r="L2470" i="18" s="1"/>
  <c r="M2470" i="18" s="1"/>
  <c r="N2470" i="18" s="1"/>
  <c r="J2447" i="18"/>
  <c r="K2447" i="18" s="1"/>
  <c r="L2447" i="18" s="1"/>
  <c r="M2447" i="18" s="1"/>
  <c r="N2447" i="18" s="1"/>
  <c r="I2393" i="18"/>
  <c r="J2393" i="18" s="1"/>
  <c r="J2392" i="18" s="1"/>
  <c r="K2392" i="18" s="1"/>
  <c r="L2392" i="18" s="1"/>
  <c r="M2392" i="18" s="1"/>
  <c r="N2392" i="18" s="1"/>
  <c r="J2441" i="18"/>
  <c r="J2438" i="18" s="1"/>
  <c r="K2441" i="18"/>
  <c r="K2438" i="18" s="1"/>
  <c r="K5" i="4"/>
  <c r="K5" i="3" s="1"/>
  <c r="K5" i="6"/>
  <c r="J272" i="4"/>
  <c r="J318" i="4" s="1"/>
  <c r="J597" i="4"/>
  <c r="J707" i="4" s="1"/>
  <c r="M115" i="2"/>
  <c r="N115" i="2"/>
  <c r="N366" i="4" s="1"/>
  <c r="L5" i="2"/>
  <c r="K7" i="2"/>
  <c r="J25" i="6" l="1"/>
  <c r="J26" i="6" s="1"/>
  <c r="K20" i="6"/>
  <c r="N24" i="4"/>
  <c r="N28" i="4" s="1"/>
  <c r="N93" i="4" s="1"/>
  <c r="L329" i="4"/>
  <c r="L188" i="4"/>
  <c r="N310" i="4"/>
  <c r="N312" i="4"/>
  <c r="M372" i="4"/>
  <c r="N278" i="4"/>
  <c r="N321" i="4" s="1"/>
  <c r="N313" i="4"/>
  <c r="Q11" i="9"/>
  <c r="E55" i="9"/>
  <c r="N332" i="4"/>
  <c r="N322" i="4"/>
  <c r="N275" i="4"/>
  <c r="N89" i="4"/>
  <c r="L59" i="4"/>
  <c r="L64" i="4" s="1"/>
  <c r="L77" i="4" s="1"/>
  <c r="J92" i="9"/>
  <c r="J17" i="9"/>
  <c r="J15" i="9"/>
  <c r="J14" i="9"/>
  <c r="J16" i="9"/>
  <c r="L330" i="4"/>
  <c r="J19" i="9"/>
  <c r="J24" i="9"/>
  <c r="J13" i="9"/>
  <c r="J18" i="9"/>
  <c r="J22" i="9"/>
  <c r="J20" i="9"/>
  <c r="J25" i="9"/>
  <c r="J12" i="9"/>
  <c r="J21" i="9"/>
  <c r="J23" i="9"/>
  <c r="J26" i="9"/>
  <c r="N59" i="4"/>
  <c r="N64" i="4" s="1"/>
  <c r="K88" i="9"/>
  <c r="K21" i="6"/>
  <c r="K79" i="4"/>
  <c r="K27" i="6" s="1"/>
  <c r="K25" i="6"/>
  <c r="K92" i="9"/>
  <c r="K13" i="6"/>
  <c r="K14" i="6" s="1"/>
  <c r="K78" i="4"/>
  <c r="K15" i="6" s="1"/>
  <c r="M93" i="4"/>
  <c r="M59" i="4"/>
  <c r="M64" i="4" s="1"/>
  <c r="M377" i="4"/>
  <c r="M329" i="4"/>
  <c r="M321" i="4"/>
  <c r="M330" i="4"/>
  <c r="M319" i="4"/>
  <c r="N2441" i="18"/>
  <c r="M2424" i="18"/>
  <c r="N2424" i="18" s="1"/>
  <c r="L5" i="4"/>
  <c r="L5" i="3" s="1"/>
  <c r="L5" i="6"/>
  <c r="J261" i="4"/>
  <c r="M366" i="4"/>
  <c r="M368" i="4" s="1"/>
  <c r="M382" i="4"/>
  <c r="L98" i="4"/>
  <c r="L66" i="4" s="1"/>
  <c r="L341" i="4"/>
  <c r="J726" i="4"/>
  <c r="J729" i="4" s="1"/>
  <c r="J564" i="4" s="1"/>
  <c r="K597" i="4"/>
  <c r="K272" i="4"/>
  <c r="N117" i="4"/>
  <c r="N382" i="4"/>
  <c r="N120" i="4" s="1"/>
  <c r="M5" i="2"/>
  <c r="L7" i="2"/>
  <c r="L2438" i="18" s="1"/>
  <c r="K26" i="6" l="1"/>
  <c r="N329" i="4"/>
  <c r="D60" i="9"/>
  <c r="D68" i="9" s="1"/>
  <c r="F60" i="9"/>
  <c r="F68" i="9" s="1"/>
  <c r="D63" i="9"/>
  <c r="D69" i="9" s="1"/>
  <c r="F63" i="9"/>
  <c r="F69" i="9" s="1"/>
  <c r="E59" i="9"/>
  <c r="N330" i="4"/>
  <c r="N319" i="4"/>
  <c r="L73" i="4"/>
  <c r="L92" i="9" s="1"/>
  <c r="L67" i="4"/>
  <c r="L78" i="4" s="1"/>
  <c r="L15" i="6" s="1"/>
  <c r="L19" i="6"/>
  <c r="L20" i="6" s="1"/>
  <c r="K12" i="9"/>
  <c r="K15" i="9"/>
  <c r="K25" i="9"/>
  <c r="K20" i="9"/>
  <c r="K18" i="9"/>
  <c r="K17" i="9"/>
  <c r="K24" i="9"/>
  <c r="K14" i="9"/>
  <c r="K21" i="9"/>
  <c r="K16" i="9"/>
  <c r="K19" i="9"/>
  <c r="K22" i="9"/>
  <c r="K23" i="9"/>
  <c r="K26" i="9"/>
  <c r="K13" i="9"/>
  <c r="N77" i="4"/>
  <c r="N73" i="4"/>
  <c r="N19" i="6"/>
  <c r="M77" i="4"/>
  <c r="M19" i="6"/>
  <c r="M73" i="4"/>
  <c r="L88" i="9"/>
  <c r="L21" i="6"/>
  <c r="M188" i="4"/>
  <c r="M342" i="4"/>
  <c r="N376" i="4" s="1"/>
  <c r="N97" i="4" s="1"/>
  <c r="N372" i="4"/>
  <c r="M5" i="4"/>
  <c r="M5" i="3" s="1"/>
  <c r="M5" i="6"/>
  <c r="K261" i="4"/>
  <c r="K318" i="4"/>
  <c r="K309" i="4"/>
  <c r="J263" i="4"/>
  <c r="J106" i="4" s="1"/>
  <c r="J320" i="4"/>
  <c r="L187" i="4"/>
  <c r="L193" i="4" s="1"/>
  <c r="L400" i="4"/>
  <c r="L398" i="4" s="1"/>
  <c r="M402" i="4" s="1"/>
  <c r="M381" i="4"/>
  <c r="J197" i="4"/>
  <c r="L597" i="4"/>
  <c r="L715" i="4" s="1"/>
  <c r="L727" i="4" s="1"/>
  <c r="L729" i="4" s="1"/>
  <c r="L564" i="4" s="1"/>
  <c r="L272" i="4"/>
  <c r="M120" i="4"/>
  <c r="M117" i="4"/>
  <c r="N365" i="4"/>
  <c r="N119" i="4"/>
  <c r="N121" i="4" s="1"/>
  <c r="N5" i="2"/>
  <c r="M7" i="2"/>
  <c r="M2438" i="18" s="1"/>
  <c r="H63" i="9" l="1"/>
  <c r="G60" i="9"/>
  <c r="G68" i="9" s="1"/>
  <c r="D75" i="9" s="1"/>
  <c r="H60" i="9"/>
  <c r="H62" i="9"/>
  <c r="H61" i="9"/>
  <c r="G62" i="9"/>
  <c r="G61" i="9"/>
  <c r="G67" i="9" s="1"/>
  <c r="D74" i="9" s="1"/>
  <c r="G63" i="9"/>
  <c r="G69" i="9" s="1"/>
  <c r="D76" i="9" s="1"/>
  <c r="L13" i="6"/>
  <c r="L14" i="6" s="1"/>
  <c r="L25" i="6"/>
  <c r="L26" i="6" s="1"/>
  <c r="M20" i="6"/>
  <c r="L79" i="4"/>
  <c r="L27" i="6" s="1"/>
  <c r="L19" i="9"/>
  <c r="L26" i="9"/>
  <c r="L13" i="9"/>
  <c r="L12" i="9"/>
  <c r="L23" i="9"/>
  <c r="L15" i="9"/>
  <c r="L21" i="9"/>
  <c r="L18" i="9"/>
  <c r="L24" i="9"/>
  <c r="L16" i="9"/>
  <c r="L20" i="9"/>
  <c r="L25" i="9"/>
  <c r="L17" i="9"/>
  <c r="L22" i="9"/>
  <c r="L14" i="9"/>
  <c r="M25" i="6"/>
  <c r="M92" i="9"/>
  <c r="M79" i="4"/>
  <c r="M27" i="6" s="1"/>
  <c r="N20" i="6"/>
  <c r="N25" i="6"/>
  <c r="N92" i="9"/>
  <c r="N79" i="4"/>
  <c r="N27" i="6" s="1"/>
  <c r="M88" i="9"/>
  <c r="M21" i="6"/>
  <c r="N21" i="6"/>
  <c r="N88" i="9"/>
  <c r="N377" i="4"/>
  <c r="N188" i="4" s="1"/>
  <c r="J199" i="4"/>
  <c r="N5" i="4"/>
  <c r="N5" i="3" s="1"/>
  <c r="N5" i="6"/>
  <c r="L261" i="4"/>
  <c r="L318" i="4"/>
  <c r="K263" i="4"/>
  <c r="K106" i="4" s="1"/>
  <c r="K320" i="4"/>
  <c r="L399" i="4"/>
  <c r="M403" i="4" s="1"/>
  <c r="M404" i="4" s="1"/>
  <c r="K197" i="4"/>
  <c r="M597" i="4"/>
  <c r="M272" i="4"/>
  <c r="L309" i="4"/>
  <c r="M186" i="4"/>
  <c r="M340" i="4"/>
  <c r="M119" i="4"/>
  <c r="M121" i="4" s="1"/>
  <c r="N7" i="2"/>
  <c r="N2438" i="18" s="1"/>
  <c r="I62" i="9" l="1"/>
  <c r="I61" i="9"/>
  <c r="I67" i="9" s="1"/>
  <c r="H67" i="9"/>
  <c r="E74" i="9" s="1"/>
  <c r="H68" i="9"/>
  <c r="E75" i="9" s="1"/>
  <c r="I60" i="9"/>
  <c r="I68" i="9" s="1"/>
  <c r="H69" i="9"/>
  <c r="E76" i="9" s="1"/>
  <c r="I63" i="9"/>
  <c r="I69" i="9" s="1"/>
  <c r="M26" i="6"/>
  <c r="M13" i="9"/>
  <c r="M14" i="9"/>
  <c r="M25" i="9"/>
  <c r="M23" i="9"/>
  <c r="M19" i="9"/>
  <c r="M20" i="9"/>
  <c r="M12" i="9"/>
  <c r="M22" i="9"/>
  <c r="M17" i="9"/>
  <c r="M18" i="9"/>
  <c r="M26" i="9"/>
  <c r="M16" i="9"/>
  <c r="M24" i="9"/>
  <c r="M15" i="9"/>
  <c r="M21" i="9"/>
  <c r="N22" i="9"/>
  <c r="N14" i="9"/>
  <c r="N16" i="9"/>
  <c r="N13" i="9"/>
  <c r="N23" i="9"/>
  <c r="N17" i="9"/>
  <c r="N15" i="9"/>
  <c r="N18" i="9"/>
  <c r="N24" i="9"/>
  <c r="N25" i="9"/>
  <c r="N26" i="9"/>
  <c r="N21" i="9"/>
  <c r="N20" i="9"/>
  <c r="N19" i="9"/>
  <c r="N12" i="9"/>
  <c r="N26" i="6"/>
  <c r="N342" i="4"/>
  <c r="K199" i="4"/>
  <c r="M261" i="4"/>
  <c r="M197" i="4" s="1"/>
  <c r="M318" i="4"/>
  <c r="L263" i="4"/>
  <c r="L106" i="4" s="1"/>
  <c r="L320" i="4"/>
  <c r="M383" i="4"/>
  <c r="M384" i="4" s="1"/>
  <c r="N367" i="4"/>
  <c r="N368" i="4" s="1"/>
  <c r="L197" i="4"/>
  <c r="N272" i="4"/>
  <c r="N597" i="4"/>
  <c r="M309" i="4"/>
  <c r="L199" i="4" l="1"/>
  <c r="N261" i="4"/>
  <c r="N318" i="4"/>
  <c r="M263" i="4"/>
  <c r="M106" i="4" s="1"/>
  <c r="M320" i="4"/>
  <c r="N96" i="4"/>
  <c r="M98" i="4"/>
  <c r="M66" i="4" s="1"/>
  <c r="M67" i="4" s="1"/>
  <c r="N309" i="4"/>
  <c r="N381" i="4"/>
  <c r="M341" i="4"/>
  <c r="M13" i="6" l="1"/>
  <c r="M14" i="6" s="1"/>
  <c r="M78" i="4"/>
  <c r="M15" i="6" s="1"/>
  <c r="N263" i="4"/>
  <c r="N106" i="4" s="1"/>
  <c r="N320" i="4"/>
  <c r="M199" i="4"/>
  <c r="N197" i="4"/>
  <c r="M187" i="4"/>
  <c r="M193" i="4" s="1"/>
  <c r="M400" i="4"/>
  <c r="N186" i="4"/>
  <c r="N340" i="4"/>
  <c r="N199" i="4" l="1"/>
  <c r="M398" i="4"/>
  <c r="N402" i="4" s="1"/>
  <c r="M399" i="4"/>
  <c r="N403" i="4" s="1"/>
  <c r="N404" i="4" l="1"/>
  <c r="N383" i="4" l="1"/>
  <c r="N98" i="4" s="1"/>
  <c r="N66" i="4" s="1"/>
  <c r="N67" i="4" s="1"/>
  <c r="N78" i="4" l="1"/>
  <c r="N15" i="6" s="1"/>
  <c r="N13" i="6"/>
  <c r="N14" i="6" s="1"/>
  <c r="N384" i="4"/>
  <c r="N341" i="4" s="1"/>
  <c r="N187" i="4" l="1"/>
  <c r="N193" i="4" s="1"/>
  <c r="N400" i="4"/>
  <c r="N399" i="4" s="1"/>
  <c r="N398" i="4" l="1"/>
  <c r="J680" i="4" l="1"/>
  <c r="J571" i="4" s="1"/>
  <c r="J572" i="4" s="1"/>
  <c r="J565" i="4" l="1"/>
  <c r="J551" i="4" s="1"/>
  <c r="J552" i="4" s="1"/>
  <c r="J560" i="4"/>
  <c r="J30" i="4" s="1"/>
  <c r="J136" i="4" s="1"/>
  <c r="J314" i="4" l="1"/>
  <c r="K333" i="4"/>
  <c r="L333" i="4" s="1"/>
  <c r="M333" i="4" s="1"/>
  <c r="N333" i="4" s="1"/>
  <c r="J335" i="4" l="1"/>
  <c r="J325" i="4" s="1"/>
  <c r="J326" i="4" s="1"/>
  <c r="J267" i="4" s="1"/>
  <c r="J210" i="4" l="1"/>
  <c r="J108" i="4"/>
  <c r="J137" i="4" l="1"/>
  <c r="J657" i="4" l="1"/>
  <c r="J262" i="4"/>
  <c r="J198" i="4" l="1"/>
  <c r="J107" i="4"/>
  <c r="J264" i="4"/>
  <c r="J269" i="4" s="1"/>
  <c r="J270" i="4" s="1"/>
  <c r="J110" i="4" l="1"/>
  <c r="J113" i="4" s="1"/>
  <c r="J656" i="4" s="1"/>
  <c r="K335" i="4" l="1"/>
  <c r="K325" i="4" s="1"/>
  <c r="K314" i="4" l="1"/>
  <c r="K262" i="4" l="1"/>
  <c r="K107" i="4" l="1"/>
  <c r="K198" i="4"/>
  <c r="K264" i="4"/>
  <c r="K659" i="4" l="1"/>
  <c r="K490" i="4"/>
  <c r="K491" i="4" s="1"/>
  <c r="K498" i="4" s="1"/>
  <c r="K503" i="4" s="1"/>
  <c r="K504" i="4" s="1"/>
  <c r="K324" i="4" s="1"/>
  <c r="L502" i="4" l="1"/>
  <c r="K326" i="4"/>
  <c r="K267" i="4" s="1"/>
  <c r="K108" i="4" l="1"/>
  <c r="K110" i="4" s="1"/>
  <c r="K210" i="4"/>
  <c r="K269" i="4"/>
  <c r="K270" i="4" l="1"/>
  <c r="L335" i="4" l="1"/>
  <c r="L325" i="4" s="1"/>
  <c r="L314" i="4" l="1"/>
  <c r="L262" i="4" s="1"/>
  <c r="L107" i="4" l="1"/>
  <c r="L264" i="4"/>
  <c r="L198" i="4"/>
  <c r="M335" i="4" l="1"/>
  <c r="M325" i="4" s="1"/>
  <c r="M314" i="4" l="1"/>
  <c r="M262" i="4" s="1"/>
  <c r="M107" i="4" l="1"/>
  <c r="M264" i="4"/>
  <c r="M198" i="4"/>
  <c r="N335" i="4" l="1"/>
  <c r="N325" i="4" s="1"/>
  <c r="N314" i="4" l="1"/>
  <c r="N262" i="4" s="1"/>
  <c r="N107" i="4" s="1"/>
  <c r="N264" i="4" l="1"/>
  <c r="N198" i="4"/>
  <c r="L490" i="4" l="1"/>
  <c r="L491" i="4" s="1"/>
  <c r="L498" i="4" s="1"/>
  <c r="L503" i="4" s="1"/>
  <c r="L504" i="4" s="1"/>
  <c r="L659" i="4"/>
  <c r="M502" i="4" l="1"/>
  <c r="L324" i="4"/>
  <c r="L326" i="4" s="1"/>
  <c r="L267" i="4" s="1"/>
  <c r="L108" i="4" l="1"/>
  <c r="L110" i="4" s="1"/>
  <c r="L210" i="4"/>
  <c r="L269" i="4"/>
  <c r="L270" i="4" l="1"/>
  <c r="M490" i="4" l="1"/>
  <c r="M491" i="4" s="1"/>
  <c r="M498" i="4" s="1"/>
  <c r="M503" i="4" s="1"/>
  <c r="M504" i="4" s="1"/>
  <c r="M659" i="4"/>
  <c r="N502" i="4" l="1"/>
  <c r="M324" i="4"/>
  <c r="M326" i="4" s="1"/>
  <c r="M267" i="4" s="1"/>
  <c r="M269" i="4" l="1"/>
  <c r="M270" i="4" s="1"/>
  <c r="M210" i="4"/>
  <c r="M108" i="4"/>
  <c r="M110" i="4" s="1"/>
  <c r="N490" i="4" l="1"/>
  <c r="N491" i="4" s="1"/>
  <c r="N498" i="4" s="1"/>
  <c r="N503" i="4" s="1"/>
  <c r="N504" i="4" s="1"/>
  <c r="N324" i="4" s="1"/>
  <c r="N326" i="4" s="1"/>
  <c r="N267" i="4" s="1"/>
  <c r="N659" i="4"/>
  <c r="N108" i="4" l="1"/>
  <c r="N110" i="4" s="1"/>
  <c r="N210" i="4"/>
  <c r="N269" i="4"/>
  <c r="N270" i="4" s="1"/>
  <c r="K752" i="4" l="1"/>
  <c r="K757" i="4" s="1"/>
  <c r="K563" i="4" s="1"/>
  <c r="J554" i="4"/>
  <c r="J31" i="4" s="1"/>
  <c r="J566" i="4"/>
  <c r="J749" i="4"/>
  <c r="K661" i="4" l="1"/>
  <c r="J748" i="4"/>
  <c r="J221" i="4" s="1"/>
  <c r="J747" i="4"/>
  <c r="J211" i="4" s="1"/>
  <c r="J159" i="4"/>
  <c r="J662" i="4" s="1"/>
  <c r="J32" i="4"/>
  <c r="J48" i="4" s="1"/>
  <c r="J54" i="4" s="1"/>
  <c r="J56" i="4" s="1"/>
  <c r="K760" i="4" l="1"/>
  <c r="K550" i="4" s="1"/>
  <c r="J424" i="4"/>
  <c r="J428" i="4" s="1"/>
  <c r="J664" i="4"/>
  <c r="J478" i="4"/>
  <c r="L752" i="4" l="1"/>
  <c r="L757" i="4" s="1"/>
  <c r="L563" i="4" s="1"/>
  <c r="K749" i="4"/>
  <c r="J667" i="4"/>
  <c r="J670" i="4" s="1"/>
  <c r="J673" i="4" s="1"/>
  <c r="J676" i="4" s="1"/>
  <c r="J767" i="4" s="1"/>
  <c r="J768" i="4" s="1"/>
  <c r="J33" i="4"/>
  <c r="J431" i="4"/>
  <c r="J34" i="4" l="1"/>
  <c r="J70" i="4"/>
  <c r="J71" i="4" s="1"/>
  <c r="L661" i="4"/>
  <c r="K747" i="4"/>
  <c r="K211" i="4" s="1"/>
  <c r="K748" i="4"/>
  <c r="K221" i="4" s="1"/>
  <c r="L760" i="4"/>
  <c r="L550" i="4" s="1"/>
  <c r="J415" i="4"/>
  <c r="J432" i="4"/>
  <c r="J433" i="4" s="1"/>
  <c r="J677" i="4"/>
  <c r="J153" i="4"/>
  <c r="J165" i="4" s="1"/>
  <c r="J166" i="4" s="1"/>
  <c r="J170" i="4" s="1"/>
  <c r="J80" i="4" l="1"/>
  <c r="J84" i="4" s="1"/>
  <c r="J39" i="6" s="1"/>
  <c r="J32" i="6"/>
  <c r="J33" i="6" s="1"/>
  <c r="J37" i="4"/>
  <c r="J517" i="4" s="1"/>
  <c r="J522" i="4" s="1"/>
  <c r="L749" i="4"/>
  <c r="M752" i="4"/>
  <c r="M757" i="4" s="1"/>
  <c r="M563" i="4" s="1"/>
  <c r="K675" i="4"/>
  <c r="J580" i="4"/>
  <c r="J582" i="4" s="1"/>
  <c r="J592" i="4"/>
  <c r="J590" i="4" s="1"/>
  <c r="J587" i="4" s="1"/>
  <c r="J172" i="4"/>
  <c r="K167" i="4"/>
  <c r="J224" i="4"/>
  <c r="J225" i="4" s="1"/>
  <c r="J34" i="6" l="1"/>
  <c r="J484" i="4"/>
  <c r="J39" i="4"/>
  <c r="J482" i="4"/>
  <c r="J481" i="4" s="1"/>
  <c r="M661" i="4"/>
  <c r="M760" i="4"/>
  <c r="M550" i="4" s="1"/>
  <c r="L748" i="4"/>
  <c r="L221" i="4" s="1"/>
  <c r="L747" i="4"/>
  <c r="L211" i="4" s="1"/>
  <c r="K516" i="4"/>
  <c r="J448" i="4"/>
  <c r="J449" i="4" s="1"/>
  <c r="J451" i="4" s="1"/>
  <c r="J232" i="4" s="1"/>
  <c r="J82" i="4" s="1"/>
  <c r="K766" i="4"/>
  <c r="K666" i="4"/>
  <c r="J202" i="4"/>
  <c r="J203" i="4" s="1"/>
  <c r="J205" i="4" s="1"/>
  <c r="J81" i="4" s="1"/>
  <c r="J43" i="6" s="1"/>
  <c r="J773" i="4"/>
  <c r="J585" i="4"/>
  <c r="J584" i="4" s="1"/>
  <c r="J208" i="4"/>
  <c r="J214" i="4" s="1"/>
  <c r="J227" i="4" s="1"/>
  <c r="J575" i="4"/>
  <c r="K680" i="4"/>
  <c r="K571" i="4" s="1"/>
  <c r="K572" i="4" s="1"/>
  <c r="K565" i="4" s="1"/>
  <c r="J86" i="4" l="1"/>
  <c r="J41" i="6" s="1"/>
  <c r="J85" i="4"/>
  <c r="J40" i="6" s="1"/>
  <c r="M749" i="4"/>
  <c r="N752" i="4"/>
  <c r="N757" i="4" s="1"/>
  <c r="N563" i="4" s="1"/>
  <c r="K551" i="4"/>
  <c r="K552" i="4" s="1"/>
  <c r="K554" i="4" s="1"/>
  <c r="K31" i="4" s="1"/>
  <c r="K159" i="4" s="1"/>
  <c r="K662" i="4" s="1"/>
  <c r="K566" i="4"/>
  <c r="K771" i="4"/>
  <c r="K776" i="4" s="1"/>
  <c r="J772" i="4"/>
  <c r="J229" i="4"/>
  <c r="J87" i="4" l="1"/>
  <c r="J38" i="6" s="1"/>
  <c r="M747" i="4"/>
  <c r="M211" i="4" s="1"/>
  <c r="M748" i="4"/>
  <c r="M221" i="4" s="1"/>
  <c r="J234" i="4"/>
  <c r="K568" i="4"/>
  <c r="K558" i="4"/>
  <c r="K560" i="4" s="1"/>
  <c r="K30" i="4" s="1"/>
  <c r="N661" i="4" l="1"/>
  <c r="N760" i="4"/>
  <c r="K32" i="4"/>
  <c r="K48" i="4" s="1"/>
  <c r="K54" i="4" s="1"/>
  <c r="K56" i="4" s="1"/>
  <c r="K136" i="4"/>
  <c r="K137" i="4" s="1"/>
  <c r="K657" i="4" s="1"/>
  <c r="N749" i="4" l="1"/>
  <c r="N747" i="4" s="1"/>
  <c r="N211" i="4" s="1"/>
  <c r="N550" i="4"/>
  <c r="K424" i="4"/>
  <c r="K428" i="4" s="1"/>
  <c r="N748" i="4" l="1"/>
  <c r="N221" i="4" s="1"/>
  <c r="K33" i="4"/>
  <c r="K430" i="4"/>
  <c r="K34" i="4" l="1"/>
  <c r="K70" i="4"/>
  <c r="K71" i="4" s="1"/>
  <c r="K111" i="4"/>
  <c r="K113" i="4" s="1"/>
  <c r="K431" i="4"/>
  <c r="K415" i="4" s="1"/>
  <c r="K80" i="4" l="1"/>
  <c r="K84" i="4" s="1"/>
  <c r="K34" i="6" s="1"/>
  <c r="K32" i="6"/>
  <c r="K33" i="6" s="1"/>
  <c r="K37" i="4"/>
  <c r="K482" i="4" s="1"/>
  <c r="K481" i="4" s="1"/>
  <c r="K224" i="4"/>
  <c r="K225" i="4" s="1"/>
  <c r="K432" i="4"/>
  <c r="K433" i="4" s="1"/>
  <c r="K656" i="4"/>
  <c r="K521" i="4" l="1"/>
  <c r="K39" i="4"/>
  <c r="K517" i="4"/>
  <c r="K39" i="6"/>
  <c r="K478" i="4"/>
  <c r="K475" i="4" s="1"/>
  <c r="K484" i="4" l="1"/>
  <c r="K476" i="4"/>
  <c r="K512" i="4" s="1"/>
  <c r="K518" i="4"/>
  <c r="K522" i="4" s="1"/>
  <c r="K141" i="4" l="1"/>
  <c r="K513" i="4"/>
  <c r="K528" i="4"/>
  <c r="K529" i="4" s="1"/>
  <c r="L527" i="4" l="1"/>
  <c r="K442" i="4"/>
  <c r="L511" i="4"/>
  <c r="K440" i="4"/>
  <c r="L516" i="4"/>
  <c r="K448" i="4"/>
  <c r="K658" i="4"/>
  <c r="K664" i="4" s="1"/>
  <c r="K667" i="4" l="1"/>
  <c r="K670" i="4" s="1"/>
  <c r="K673" i="4" s="1"/>
  <c r="K676" i="4" s="1"/>
  <c r="K767" i="4" s="1"/>
  <c r="K768" i="4" s="1"/>
  <c r="K449" i="4"/>
  <c r="K451" i="4" s="1"/>
  <c r="K232" i="4" s="1"/>
  <c r="K82" i="4" s="1"/>
  <c r="K153" i="4" l="1"/>
  <c r="K165" i="4" s="1"/>
  <c r="K166" i="4" s="1"/>
  <c r="K170" i="4" s="1"/>
  <c r="K677" i="4"/>
  <c r="L675" i="4" l="1"/>
  <c r="K580" i="4"/>
  <c r="K582" i="4" s="1"/>
  <c r="K172" i="4"/>
  <c r="K592" i="4"/>
  <c r="K590" i="4" s="1"/>
  <c r="K587" i="4" s="1"/>
  <c r="L167" i="4"/>
  <c r="L666" i="4" l="1"/>
  <c r="L766" i="4"/>
  <c r="K773" i="4"/>
  <c r="K202" i="4"/>
  <c r="K203" i="4" s="1"/>
  <c r="K205" i="4" s="1"/>
  <c r="K81" i="4" s="1"/>
  <c r="K43" i="6" s="1"/>
  <c r="K585" i="4"/>
  <c r="K584" i="4" s="1"/>
  <c r="K208" i="4"/>
  <c r="K214" i="4" s="1"/>
  <c r="K227" i="4" s="1"/>
  <c r="K575" i="4"/>
  <c r="L680" i="4"/>
  <c r="L571" i="4" s="1"/>
  <c r="L572" i="4" s="1"/>
  <c r="L565" i="4" s="1"/>
  <c r="K86" i="4" l="1"/>
  <c r="K41" i="6" s="1"/>
  <c r="K85" i="4"/>
  <c r="L551" i="4"/>
  <c r="L552" i="4" s="1"/>
  <c r="L554" i="4" s="1"/>
  <c r="L31" i="4" s="1"/>
  <c r="L159" i="4" s="1"/>
  <c r="L662" i="4" s="1"/>
  <c r="L566" i="4"/>
  <c r="K229" i="4"/>
  <c r="L771" i="4"/>
  <c r="L776" i="4" s="1"/>
  <c r="K772" i="4"/>
  <c r="K87" i="4" l="1"/>
  <c r="K38" i="6" s="1"/>
  <c r="K40" i="6"/>
  <c r="L558" i="4"/>
  <c r="L560" i="4" s="1"/>
  <c r="L30" i="4" s="1"/>
  <c r="L568" i="4"/>
  <c r="K234" i="4"/>
  <c r="L32" i="4" l="1"/>
  <c r="L48" i="4" s="1"/>
  <c r="L54" i="4" s="1"/>
  <c r="L56" i="4" s="1"/>
  <c r="L136" i="4"/>
  <c r="L137" i="4" s="1"/>
  <c r="L657" i="4" s="1"/>
  <c r="L424" i="4" l="1"/>
  <c r="L428" i="4" s="1"/>
  <c r="L430" i="4" l="1"/>
  <c r="L431" i="4" s="1"/>
  <c r="L415" i="4" s="1"/>
  <c r="L33" i="4"/>
  <c r="L34" i="4" l="1"/>
  <c r="L70" i="4"/>
  <c r="L71" i="4" s="1"/>
  <c r="L224" i="4"/>
  <c r="L225" i="4" s="1"/>
  <c r="L111" i="4"/>
  <c r="L113" i="4" s="1"/>
  <c r="L432" i="4"/>
  <c r="L433" i="4" s="1"/>
  <c r="L80" i="4" l="1"/>
  <c r="L84" i="4" s="1"/>
  <c r="L34" i="6" s="1"/>
  <c r="L32" i="6"/>
  <c r="L33" i="6" s="1"/>
  <c r="L37" i="4"/>
  <c r="L521" i="4" s="1"/>
  <c r="L656" i="4"/>
  <c r="L482" i="4" l="1"/>
  <c r="L481" i="4" s="1"/>
  <c r="L517" i="4"/>
  <c r="L484" i="4" s="1"/>
  <c r="L39" i="4"/>
  <c r="L39" i="6"/>
  <c r="L478" i="4"/>
  <c r="L475" i="4" s="1"/>
  <c r="L518" i="4" l="1"/>
  <c r="L522" i="4" s="1"/>
  <c r="L476" i="4"/>
  <c r="L512" i="4" s="1"/>
  <c r="L528" i="4" l="1"/>
  <c r="L529" i="4" s="1"/>
  <c r="L513" i="4"/>
  <c r="L141" i="4"/>
  <c r="L448" i="4" l="1"/>
  <c r="M516" i="4"/>
  <c r="L658" i="4"/>
  <c r="L664" i="4" s="1"/>
  <c r="M511" i="4"/>
  <c r="L440" i="4"/>
  <c r="L442" i="4"/>
  <c r="M527" i="4"/>
  <c r="L449" i="4" l="1"/>
  <c r="L451" i="4" s="1"/>
  <c r="L232" i="4" s="1"/>
  <c r="L82" i="4" s="1"/>
  <c r="L667" i="4"/>
  <c r="L670" i="4" s="1"/>
  <c r="L673" i="4" s="1"/>
  <c r="L676" i="4" s="1"/>
  <c r="L767" i="4" s="1"/>
  <c r="L768" i="4" s="1"/>
  <c r="L153" i="4" l="1"/>
  <c r="L165" i="4" s="1"/>
  <c r="L166" i="4" s="1"/>
  <c r="L170" i="4" s="1"/>
  <c r="L677" i="4"/>
  <c r="L580" i="4" l="1"/>
  <c r="L582" i="4" s="1"/>
  <c r="M675" i="4"/>
  <c r="L592" i="4"/>
  <c r="L590" i="4" s="1"/>
  <c r="L587" i="4" s="1"/>
  <c r="L172" i="4"/>
  <c r="M167" i="4"/>
  <c r="M766" i="4" l="1"/>
  <c r="M666" i="4"/>
  <c r="L585" i="4"/>
  <c r="L584" i="4" s="1"/>
  <c r="L202" i="4"/>
  <c r="L203" i="4" s="1"/>
  <c r="L205" i="4" s="1"/>
  <c r="L81" i="4" s="1"/>
  <c r="L43" i="6" s="1"/>
  <c r="L773" i="4"/>
  <c r="M680" i="4"/>
  <c r="M571" i="4" s="1"/>
  <c r="M572" i="4" s="1"/>
  <c r="M565" i="4" s="1"/>
  <c r="L208" i="4"/>
  <c r="L214" i="4" s="1"/>
  <c r="L227" i="4" s="1"/>
  <c r="L575" i="4"/>
  <c r="L86" i="4" l="1"/>
  <c r="L41" i="6" s="1"/>
  <c r="L85" i="4"/>
  <c r="L229" i="4"/>
  <c r="M551" i="4"/>
  <c r="M552" i="4" s="1"/>
  <c r="M554" i="4" s="1"/>
  <c r="M31" i="4" s="1"/>
  <c r="M159" i="4" s="1"/>
  <c r="M662" i="4" s="1"/>
  <c r="M566" i="4"/>
  <c r="M771" i="4"/>
  <c r="M776" i="4" s="1"/>
  <c r="L772" i="4"/>
  <c r="L87" i="4" l="1"/>
  <c r="L38" i="6" s="1"/>
  <c r="L40" i="6"/>
  <c r="M568" i="4"/>
  <c r="M558" i="4"/>
  <c r="M560" i="4" s="1"/>
  <c r="M30" i="4" s="1"/>
  <c r="L234" i="4"/>
  <c r="M32" i="4" l="1"/>
  <c r="M48" i="4" s="1"/>
  <c r="M54" i="4" s="1"/>
  <c r="M56" i="4" s="1"/>
  <c r="M136" i="4"/>
  <c r="M137" i="4" s="1"/>
  <c r="M657" i="4" s="1"/>
  <c r="M424" i="4" l="1"/>
  <c r="M428" i="4" s="1"/>
  <c r="M33" i="4" l="1"/>
  <c r="M430" i="4"/>
  <c r="M34" i="4" l="1"/>
  <c r="M70" i="4"/>
  <c r="M71" i="4" s="1"/>
  <c r="M111" i="4"/>
  <c r="M113" i="4" s="1"/>
  <c r="M431" i="4"/>
  <c r="M415" i="4" s="1"/>
  <c r="M32" i="6" l="1"/>
  <c r="M33" i="6" s="1"/>
  <c r="M80" i="4"/>
  <c r="M84" i="4" s="1"/>
  <c r="M34" i="6" s="1"/>
  <c r="M37" i="4"/>
  <c r="M39" i="4" s="1"/>
  <c r="M224" i="4"/>
  <c r="M225" i="4" s="1"/>
  <c r="M656" i="4"/>
  <c r="M432" i="4"/>
  <c r="M433" i="4" s="1"/>
  <c r="M39" i="6" l="1"/>
  <c r="M521" i="4"/>
  <c r="M482" i="4"/>
  <c r="M481" i="4" s="1"/>
  <c r="M517" i="4"/>
  <c r="M478" i="4"/>
  <c r="M475" i="4" s="1"/>
  <c r="M484" i="4" l="1"/>
  <c r="M476" i="4"/>
  <c r="M512" i="4" s="1"/>
  <c r="M518" i="4"/>
  <c r="M522" i="4" s="1"/>
  <c r="M141" i="4" l="1"/>
  <c r="M528" i="4"/>
  <c r="M529" i="4" s="1"/>
  <c r="M513" i="4"/>
  <c r="N511" i="4" l="1"/>
  <c r="M440" i="4"/>
  <c r="N527" i="4"/>
  <c r="M442" i="4"/>
  <c r="M448" i="4"/>
  <c r="N516" i="4"/>
  <c r="M658" i="4"/>
  <c r="M664" i="4" s="1"/>
  <c r="M667" i="4" l="1"/>
  <c r="M670" i="4" s="1"/>
  <c r="M673" i="4" s="1"/>
  <c r="M676" i="4" s="1"/>
  <c r="M449" i="4"/>
  <c r="M451" i="4" s="1"/>
  <c r="M232" i="4" s="1"/>
  <c r="M82" i="4" s="1"/>
  <c r="M153" i="4" l="1"/>
  <c r="M165" i="4" s="1"/>
  <c r="M166" i="4" s="1"/>
  <c r="M170" i="4" s="1"/>
  <c r="M677" i="4"/>
  <c r="M767" i="4"/>
  <c r="M768" i="4" s="1"/>
  <c r="N675" i="4" l="1"/>
  <c r="M580" i="4"/>
  <c r="M582" i="4" s="1"/>
  <c r="N167" i="4"/>
  <c r="M172" i="4"/>
  <c r="M592" i="4"/>
  <c r="M590" i="4" s="1"/>
  <c r="M587" i="4" s="1"/>
  <c r="M585" i="4" l="1"/>
  <c r="M584" i="4" s="1"/>
  <c r="M773" i="4"/>
  <c r="M202" i="4"/>
  <c r="M203" i="4" s="1"/>
  <c r="M205" i="4" s="1"/>
  <c r="M81" i="4" s="1"/>
  <c r="M43" i="6" s="1"/>
  <c r="N666" i="4"/>
  <c r="N766" i="4"/>
  <c r="M208" i="4"/>
  <c r="M214" i="4" s="1"/>
  <c r="M227" i="4" s="1"/>
  <c r="M575" i="4"/>
  <c r="N680" i="4"/>
  <c r="N571" i="4" s="1"/>
  <c r="N572" i="4" s="1"/>
  <c r="N565" i="4" s="1"/>
  <c r="M86" i="4" l="1"/>
  <c r="M41" i="6" s="1"/>
  <c r="M85" i="4"/>
  <c r="N551" i="4"/>
  <c r="N552" i="4" s="1"/>
  <c r="N554" i="4" s="1"/>
  <c r="N31" i="4" s="1"/>
  <c r="N159" i="4" s="1"/>
  <c r="N662" i="4" s="1"/>
  <c r="N566" i="4"/>
  <c r="M229" i="4"/>
  <c r="M772" i="4"/>
  <c r="N771" i="4"/>
  <c r="N776" i="4" s="1"/>
  <c r="M87" i="4" l="1"/>
  <c r="M38" i="6" s="1"/>
  <c r="M40" i="6"/>
  <c r="M234" i="4"/>
  <c r="N558" i="4"/>
  <c r="N560" i="4" s="1"/>
  <c r="N30" i="4" s="1"/>
  <c r="N568" i="4"/>
  <c r="N136" i="4" l="1"/>
  <c r="N137" i="4" s="1"/>
  <c r="N657" i="4" s="1"/>
  <c r="N32" i="4"/>
  <c r="N48" i="4" s="1"/>
  <c r="N54" i="4" s="1"/>
  <c r="N56" i="4" s="1"/>
  <c r="N424" i="4" l="1"/>
  <c r="N428" i="4" s="1"/>
  <c r="N430" i="4" l="1"/>
  <c r="N33" i="4"/>
  <c r="N34" i="4" l="1"/>
  <c r="N37" i="4" s="1"/>
  <c r="N482" i="4" s="1"/>
  <c r="N481" i="4" s="1"/>
  <c r="N70" i="4"/>
  <c r="N71" i="4" s="1"/>
  <c r="N111" i="4"/>
  <c r="N113" i="4" s="1"/>
  <c r="N431" i="4"/>
  <c r="N415" i="4" s="1"/>
  <c r="N224" i="4" s="1"/>
  <c r="N225" i="4" s="1"/>
  <c r="N80" i="4" l="1"/>
  <c r="N84" i="4" s="1"/>
  <c r="N39" i="6" s="1"/>
  <c r="N32" i="6"/>
  <c r="N33" i="6" s="1"/>
  <c r="N521" i="4"/>
  <c r="N39" i="4"/>
  <c r="N517" i="4"/>
  <c r="N432" i="4"/>
  <c r="N433" i="4" s="1"/>
  <c r="N656" i="4"/>
  <c r="N34" i="6" l="1"/>
  <c r="N484" i="4"/>
  <c r="N478" i="4"/>
  <c r="N475" i="4" s="1"/>
  <c r="N518" i="4" l="1"/>
  <c r="N522" i="4" s="1"/>
  <c r="N476" i="4"/>
  <c r="N512" i="4" s="1"/>
  <c r="N528" i="4" l="1"/>
  <c r="N529" i="4" s="1"/>
  <c r="N442" i="4" s="1"/>
  <c r="N513" i="4"/>
  <c r="N440" i="4" s="1"/>
  <c r="N141" i="4"/>
  <c r="N448" i="4"/>
  <c r="N658" i="4" l="1"/>
  <c r="N664" i="4" s="1"/>
  <c r="N449" i="4"/>
  <c r="N451" i="4" s="1"/>
  <c r="N232" i="4" s="1"/>
  <c r="N82" i="4" s="1"/>
  <c r="N667" i="4" l="1"/>
  <c r="N670" i="4" s="1"/>
  <c r="N673" i="4" s="1"/>
  <c r="N676" i="4" s="1"/>
  <c r="N767" i="4" s="1"/>
  <c r="N768" i="4" s="1"/>
  <c r="N153" i="4" l="1"/>
  <c r="N165" i="4" s="1"/>
  <c r="N166" i="4" s="1"/>
  <c r="N170" i="4" s="1"/>
  <c r="N677" i="4"/>
  <c r="N580" i="4" s="1"/>
  <c r="N582" i="4" s="1"/>
  <c r="N575" i="4" l="1"/>
  <c r="N208" i="4"/>
  <c r="N214" i="4" s="1"/>
  <c r="N227" i="4" s="1"/>
  <c r="N592" i="4"/>
  <c r="N590" i="4" s="1"/>
  <c r="N587" i="4" s="1"/>
  <c r="N172" i="4"/>
  <c r="N773" i="4" l="1"/>
  <c r="N772" i="4" s="1"/>
  <c r="N202" i="4"/>
  <c r="N203" i="4" s="1"/>
  <c r="N205" i="4" s="1"/>
  <c r="N81" i="4" s="1"/>
  <c r="N43" i="6" s="1"/>
  <c r="N585" i="4"/>
  <c r="N584" i="4" s="1"/>
  <c r="N229" i="4" l="1"/>
  <c r="N234" i="4" s="1"/>
  <c r="D234" i="4" s="1"/>
  <c r="N86" i="4"/>
  <c r="N41" i="6" s="1"/>
  <c r="N85" i="4"/>
  <c r="N40" i="6" s="1"/>
  <c r="M3" i="4" l="1"/>
  <c r="L3" i="8" s="1"/>
  <c r="M3" i="6" s="1"/>
  <c r="N87" i="4"/>
  <c r="N38" i="6" s="1"/>
  <c r="M3" i="3" l="1"/>
  <c r="M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tc={0E2D6D47-B3DD-474F-8A41-5CF06CFE671C}</author>
  </authors>
  <commentList>
    <comment ref="AP518" authorId="0" shapeId="0" xr:uid="{0E2D6D47-B3DD-474F-8A41-5CF06CFE671C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Excld transition, grew by 3.3%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tc={1B9473D0-95C6-469A-8B43-94730CFAFDED}</author>
    <author>tc={9278E6CF-67BB-4A68-82A3-56A6885E4092}</author>
  </authors>
  <commentList>
    <comment ref="C74" authorId="0" shapeId="0" xr:uid="{1B9473D0-95C6-469A-8B43-94730CFAFDED}">
      <text>
        <t>[Threaded comment]
Your version of Excel allows you to read this threaded comment; however, any edits to it will get removed if the file is opened in a newer version of Excel. Learn more: https://go.microsoft.com/fwlink/?linkid=870924
Comment:
    Credit sales</t>
      </text>
    </comment>
    <comment ref="D177" authorId="1" shapeId="0" xr:uid="{9278E6CF-67BB-4A68-82A3-56A6885E4092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the midpoint of the range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tc={E258765C-0C3B-40D8-826F-39E2AF6F4BD0}</author>
    <author>tc={7C7D2F8E-CF3B-42B9-8E2E-60D0E2B68CD5}</author>
    <author>tc={36B9BEF2-BC91-4FE7-8F5E-824F9E9F0ACB}</author>
    <author>tc={F3F8CB00-2CEC-4D1B-8112-69CFF736EB86}</author>
    <author>tc={55FCE073-F4A8-4763-A92B-EEBF05E7A543}</author>
    <author>tc={65098030-45CA-40C8-8FED-4FE3C276B02D}</author>
    <author>tc={46DB1841-53EF-462F-AE13-813DD92A32EC}</author>
    <author>tc={8363AC1F-1A9B-49A7-B3FF-D3A4C951D13A}</author>
    <author>tc={5957D817-A2C4-424A-8271-2334A393110D}</author>
    <author>tc={F026BCD6-0029-425A-836B-C4D1F7212516}</author>
    <author>tc={8FD22E96-C5DE-4EB1-AC96-E2910C853147}</author>
    <author>tc={FA879DE4-C0D9-45E3-927D-B6FF7392F3E8}</author>
    <author>tc={EBB00A53-5234-4D2D-9FF8-4E519F5C9071}</author>
    <author>tc={A6CCB730-D912-456C-9B1E-C87835E94031}</author>
    <author>tc={C5B0D0BF-CFC3-45B1-AFF4-25F59780F236}</author>
    <author>tc={DCF5ED35-10C4-456A-9260-D7819110A9D0}</author>
    <author>tc={951FE9FA-A16A-45E9-952C-DCB4CC0BECBC}</author>
    <author>tc={7F7395A1-B65D-4E0A-A0BF-69A681762828}</author>
    <author>tc={13054878-3B4F-4759-8F12-9987F68B5191}</author>
    <author>tc={E220FBBE-CD1C-43A3-97CC-BC801619A45F}</author>
    <author>tc={FC68B005-4E1C-43F3-BB2D-836B64457371}</author>
    <author>tc={3A1B3143-DD39-4C54-8FD1-CE243B114F71}</author>
    <author>tc={79C240A0-A70E-4380-9ECF-220701022FF5}</author>
  </authors>
  <commentList>
    <comment ref="U295" authorId="0" shapeId="0" xr:uid="{E258765C-0C3B-40D8-826F-39E2AF6F4B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non-recurring TP implementation costs for FatFace in the prior year which, as noted below, are reported within Central and Other costs. </t>
      </text>
    </comment>
    <comment ref="I762" authorId="1" shapeId="0" xr:uid="{7C7D2F8E-CF3B-42B9-8E2E-60D0E2B68CD5}">
      <text>
        <t>[Threaded comment]
Your version of Excel allows you to read this threaded comment; however, any edits to it will get removed if the file is opened in a newer version of Excel. Learn more: https://go.microsoft.com/fwlink/?linkid=870924
Comment:
    Run rate for 2025 &amp; 2026</t>
      </text>
    </comment>
    <comment ref="H769" authorId="2" shapeId="0" xr:uid="{36B9BEF2-BC91-4FE7-8F5E-824F9E9F0ACB}">
      <text>
        <t>[Threaded comment]
Your version of Excel allows you to read this threaded comment; however, any edits to it will get removed if the file is opened in a newer version of Excel. Learn more: https://go.microsoft.com/fwlink/?linkid=870924
Comment:
    Spike excess</t>
      </text>
    </comment>
    <comment ref="C794" authorId="3" shapeId="0" xr:uid="{F3F8CB00-2CEC-4D1B-8112-69CFF736EB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Stripped from finance costs</t>
      </text>
    </comment>
    <comment ref="E794" authorId="4" shapeId="0" xr:uid="{55FCE073-F4A8-4763-A92B-EEBF05E7A5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Stripped from finance costs</t>
      </text>
    </comment>
    <comment ref="H1704" authorId="5" shapeId="0" xr:uid="{65098030-45CA-40C8-8FED-4FE3C276B0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Reversal is negative</t>
      </text>
    </comment>
    <comment ref="H1709" authorId="6" shapeId="0" xr:uid="{46DB1841-53EF-462F-AE13-813DD92A32EC}">
      <text>
        <t>[Threaded comment]
Your version of Excel allows you to read this threaded comment; however, any edits to it will get removed if the file is opened in a newer version of Excel. Learn more: https://go.microsoft.com/fwlink/?linkid=870924
Comment:
    Gain is negative</t>
      </text>
    </comment>
    <comment ref="C1875" authorId="7" shapeId="0" xr:uid="{8363AC1F-1A9B-49A7-B3FF-D3A4C951D13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47,26 report</t>
      </text>
    </comment>
    <comment ref="H1926" authorId="8" shapeId="0" xr:uid="{5957D817-A2C4-424A-8271-2334A39311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Reversal is negative</t>
      </text>
    </comment>
    <comment ref="H1931" authorId="9" shapeId="0" xr:uid="{F026BCD6-0029-425A-836B-C4D1F7212516}">
      <text>
        <t>[Threaded comment]
Your version of Excel allows you to read this threaded comment; however, any edits to it will get removed if the file is opened in a newer version of Excel. Learn more: https://go.microsoft.com/fwlink/?linkid=870924
Comment:
    Gain is negative</t>
      </text>
    </comment>
    <comment ref="I2006" authorId="10" shapeId="0" xr:uid="{8FD22E96-C5DE-4EB1-AC96-E2910C853147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Rounding up dif of -0.1 was added</t>
      </text>
    </comment>
    <comment ref="I2010" authorId="11" shapeId="0" xr:uid="{FA879DE4-C0D9-45E3-927D-B6FF7392F3E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impairment= 3.9</t>
      </text>
    </comment>
    <comment ref="E2159" authorId="12" shapeId="0" xr:uid="{EBB00A53-5234-4D2D-9FF8-4E519F5C9071}">
      <text>
        <t>[Threaded comment]
Your version of Excel allows you to read this threaded comment; however, any edits to it will get removed if the file is opened in a newer version of Excel. Learn more: https://go.microsoft.com/fwlink/?linkid=870924
Comment:
    Negative is a release</t>
      </text>
    </comment>
    <comment ref="I2162" authorId="13" shapeId="0" xr:uid="{A6CCB730-D912-456C-9B1E-C87835E94031}">
      <text>
        <t>[Threaded comment]
Your version of Excel allows you to read this threaded comment; however, any edits to it will get removed if the file is opened in a newer version of Excel. Learn more: https://go.microsoft.com/fwlink/?linkid=870924
Comment:
    Negative is a reversal</t>
      </text>
    </comment>
    <comment ref="C2228" authorId="14" shapeId="0" xr:uid="{C5B0D0BF-CFC3-45B1-AFF4-25F59780F236}">
      <text>
        <t>[Threaded comment]
Your version of Excel allows you to read this threaded comment; however, any edits to it will get removed if the file is opened in a newer version of Excel. Learn more: https://go.microsoft.com/fwlink/?linkid=870924
Comment:
    Online sales through TP website</t>
      </text>
    </comment>
    <comment ref="C2349" authorId="15" shapeId="0" xr:uid="{DCF5ED35-10C4-456A-9260-D7819110A9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Credit sales include Online sales and Retail Store sales. Credit sales are a direct indicator of the performance of the NEXT Finance business. </t>
      </text>
    </comment>
    <comment ref="I2354" authorId="16" shapeId="0" xr:uid="{951FE9FA-A16A-45E9-952C-DCB4CC0BECB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increase is 
mainly from a higher debtors balance, due to the increase in international sales online through 
third-party aggregators, and the timing of settlements</t>
      </text>
    </comment>
    <comment ref="J2355" authorId="17" shapeId="0" xr:uid="{7F7395A1-B65D-4E0A-A0BF-69A6817628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the year ahead, we expect a net cash outflow of £75m mainly due to stock increasing in line with forecast sales and the payment of staff incentives. </t>
      </text>
    </comment>
    <comment ref="I2356" authorId="18" shapeId="0" xr:uid="{13054878-3B4F-4759-8F12-9987F68B51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Also included within this year’s working capital, is an additional £29m outflow for ‘cash in transit’. </t>
      </text>
    </comment>
    <comment ref="C2383" authorId="19" shapeId="0" xr:uid="{E220FBBE-CD1C-43A3-97CC-BC801619A45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a % of product revenue, falling steeply overtime</t>
      </text>
    </comment>
    <comment ref="C2411" authorId="20" shapeId="0" xr:uid="{FC68B005-4E1C-43F3-BB2D-836B644573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Customer receivables are outstanding customer balances less an allowance for impairment. . Other trade receivables are stated at invoice value less an allowance for impairment </t>
      </text>
    </comment>
    <comment ref="C2414" authorId="21" shapeId="0" xr:uid="{3A1B3143-DD39-4C54-8FD1-CE243B114F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customer receivables balance at the year end will be around £1.32bn </t>
      </text>
    </comment>
    <comment ref="J2760" authorId="22" shapeId="0" xr:uid="{79C240A0-A70E-4380-9ECF-220701022FF5}">
      <text>
        <t>[Threaded comment]
Your version of Excel allows you to read this threaded comment; however, any edits to it will get removed if the file is opened in a newer version of Excel. Learn more: https://go.microsoft.com/fwlink/?linkid=870924
Comment:
    120 being the midpoint. Range between 109 and 131; 109 being previous average share price and 131 as the ceiling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<sst xmlns="http://schemas.openxmlformats.org/spreadsheetml/2006/main" count="2310" uniqueCount="1383">
  <si>
    <t>Equity Research | Initiating Coverage</t>
  </si>
  <si>
    <t xml:space="preserve">Date : </t>
  </si>
  <si>
    <t xml:space="preserve">Analyst : </t>
  </si>
  <si>
    <t>Oyindamola Aribilola</t>
  </si>
  <si>
    <t>Version :</t>
  </si>
  <si>
    <t>Hard input (only in Assumptions tab)</t>
  </si>
  <si>
    <t>Formula</t>
  </si>
  <si>
    <t>Check</t>
  </si>
  <si>
    <t>Black text, no fill</t>
  </si>
  <si>
    <t>Red text</t>
  </si>
  <si>
    <t>MACROECONOMIC ASSUMPTIONS</t>
  </si>
  <si>
    <t>REVENUE ASSUMPTIONS</t>
  </si>
  <si>
    <t>MARGIN ASSUMPTIONS</t>
  </si>
  <si>
    <t>WORKING CAPITAL ASSUMPTIONS</t>
  </si>
  <si>
    <t>VALUATION ASSUMPTIONS</t>
  </si>
  <si>
    <t>UK GDP Growth Rate</t>
  </si>
  <si>
    <t>UK CPI Inflation</t>
  </si>
  <si>
    <t>BoE Base Rate</t>
  </si>
  <si>
    <t>Consumer Confidence</t>
  </si>
  <si>
    <t>Gross Margin %</t>
  </si>
  <si>
    <t>Distribution Costs % Revenue</t>
  </si>
  <si>
    <t>Admin Costs % Revenue</t>
  </si>
  <si>
    <t>Days Sales Outstanding (DSO)</t>
  </si>
  <si>
    <t>Days Inventory Outstanding (DIO)</t>
  </si>
  <si>
    <t>Days Payable Outstanding (DPO)</t>
  </si>
  <si>
    <t>Capex % Revenue</t>
  </si>
  <si>
    <t>COLOR CODING SYSTEM</t>
  </si>
  <si>
    <t>Risk- Free Rate %</t>
  </si>
  <si>
    <t>Equity Risk Premium %</t>
  </si>
  <si>
    <t>Beta</t>
  </si>
  <si>
    <t>Cost of Debt %</t>
  </si>
  <si>
    <t>Tax Rate %</t>
  </si>
  <si>
    <t>Terminal Growth Rate %</t>
  </si>
  <si>
    <t>Exit EV/EBITDA Multiple</t>
  </si>
  <si>
    <t>Line item description</t>
  </si>
  <si>
    <t>Notes/ source</t>
  </si>
  <si>
    <t>Circularity Switch :</t>
  </si>
  <si>
    <t>GENERAL</t>
  </si>
  <si>
    <t>Forecast  Period</t>
  </si>
  <si>
    <t>End year level of yield from British Government Stock, 10 year Nominal Par Yield                          IUAMNPY</t>
  </si>
  <si>
    <t>https://www.bankofengland.co.uk/boeapps/database/fromshowcolumns.asp?Travel=NIxIRxSUx&amp;FromSeries=1&amp;ToSeries=50&amp;DAT=RNG&amp;FD=1&amp;FM=Jan&amp;FY=2015&amp;TD=31&amp;TM=Dec&amp;TY=2026&amp;FNY=&amp;CSVF=TT&amp;VPD=Y&amp;NewRevSince=Y&amp;RFD=3&amp;RFM=Jun&amp;RFY=2007&amp;html.x=222&amp;html.y=43&amp;C=DUS&amp;C=DVI&amp;Filter=Y&amp;VUD=B</t>
  </si>
  <si>
    <t>https://pages.stern.nyu.edu/~adamodar/New_Home_Page/datacurrent.html#discrate</t>
  </si>
  <si>
    <t>unlevered beta corrected for cash</t>
  </si>
  <si>
    <t>cost of equity (Europe)</t>
  </si>
  <si>
    <t>cost of capital(europe)</t>
  </si>
  <si>
    <t>retail(grocery and food)</t>
  </si>
  <si>
    <t>Risk Premiums for Other Markets </t>
  </si>
  <si>
    <t>https://pages.stern.nyu.edu/~adamodar/pc/datasets/betaEurope.xls</t>
  </si>
  <si>
    <t>https://www.bankofengland.co.uk/boeapps/database/fromshowcolumns.asp?Travel=NIxIRxSUx&amp;FromSeries=1&amp;ToSeries=50&amp;DAT=RNG&amp;FD=1&amp;FM=Jan&amp;FY=2015&amp;TD=31&amp;TM=Dec&amp;TY=2026&amp;FNY=&amp;CSVF=TT&amp;VPD=Y&amp;NewRevSince=Y&amp;RFD=3&amp;RFM=Jun&amp;RFY=2007&amp;html.x=222&amp;html.y=43&amp;C=DUS&amp;C=DVI&amp;Filter=Y&amp;VUD=B#</t>
  </si>
  <si>
    <t>https://pages.stern.nyu.edu/~adamodar/pc/datasets/waccEurope.xls</t>
  </si>
  <si>
    <t>https://pages.stern.nyu.edu/~adamodar/pc/datasets/ctryprem.xlsx</t>
  </si>
  <si>
    <t>peers</t>
  </si>
  <si>
    <t>Sainsbury</t>
  </si>
  <si>
    <t>asda</t>
  </si>
  <si>
    <t>aldi</t>
  </si>
  <si>
    <t>morrisons</t>
  </si>
  <si>
    <t>lidl</t>
  </si>
  <si>
    <t>co-op</t>
  </si>
  <si>
    <t>waitrose</t>
  </si>
  <si>
    <t>iceland</t>
  </si>
  <si>
    <t>ocado</t>
  </si>
  <si>
    <t>https://www.kantar.com/uki/campaigns/grocery-market-share</t>
  </si>
  <si>
    <t>12weeks ending feb</t>
  </si>
  <si>
    <t>market share</t>
  </si>
  <si>
    <t>Retail Sales Index time series</t>
  </si>
  <si>
    <t>https://www.ons.gov.uk/businessindustryandtrade/retailindustry/datasets/retailsales</t>
  </si>
  <si>
    <t>https://www.ons.gov.uk/file?uri=/businessindustryandtrade/retailindustry/datasets/retailsales/current/drsi.xlsx</t>
  </si>
  <si>
    <t>February figure(Vol)</t>
  </si>
  <si>
    <t>february</t>
  </si>
  <si>
    <t>%change over 12months</t>
  </si>
  <si>
    <t>https://www.ons.gov.uk/economy/inflationandpriceindices/datasets/consumerpriceinflation/current</t>
  </si>
  <si>
    <t>INCOME STATEMENT</t>
  </si>
  <si>
    <t>BALANCE SHEET</t>
  </si>
  <si>
    <t>NON-CURRENT ASSETS</t>
  </si>
  <si>
    <t>Deferred Tax Assets</t>
  </si>
  <si>
    <t>TOTAL NON-CURRENT ASSETS</t>
  </si>
  <si>
    <t>CURRENT ASSETS</t>
  </si>
  <si>
    <t>Inventories</t>
  </si>
  <si>
    <t>TOTAL CURRENT ASSETS</t>
  </si>
  <si>
    <t>NON-CURRENT LIABILITIES</t>
  </si>
  <si>
    <t>CURRENT LIABILITIES</t>
  </si>
  <si>
    <t>Current Tax Liabilities</t>
  </si>
  <si>
    <t>EQUITY</t>
  </si>
  <si>
    <t>Share Capital</t>
  </si>
  <si>
    <t>Share Premium</t>
  </si>
  <si>
    <t>TOTAL EQUITY</t>
  </si>
  <si>
    <t>CASH-FLOW</t>
  </si>
  <si>
    <t>Interest received</t>
  </si>
  <si>
    <t>CHECK</t>
  </si>
  <si>
    <t>IFRS 16</t>
  </si>
  <si>
    <t>IAS 19</t>
  </si>
  <si>
    <t>IFRS 2</t>
  </si>
  <si>
    <t>INTANGIBLES</t>
  </si>
  <si>
    <t>ANNUAL REPORT</t>
  </si>
  <si>
    <t>Ver 1.0</t>
  </si>
  <si>
    <t xml:space="preserve"> - </t>
  </si>
  <si>
    <t>Units</t>
  </si>
  <si>
    <t>Trend</t>
  </si>
  <si>
    <t>INPUT &amp; ASSUMPTIONS</t>
  </si>
  <si>
    <t>SCENARIO ANALYSIS</t>
  </si>
  <si>
    <t>FINANCIAL STATEMENTS &amp; SCHEDULES</t>
  </si>
  <si>
    <t>Cases</t>
  </si>
  <si>
    <t xml:space="preserve">SCENARIO SWITCH </t>
  </si>
  <si>
    <t>Linked input</t>
  </si>
  <si>
    <t xml:space="preserve"> Blue text, no fill</t>
  </si>
  <si>
    <t>SCHEDULES</t>
  </si>
  <si>
    <t>WACC from First Principles:</t>
  </si>
  <si>
    <t>INCOME TAX</t>
  </si>
  <si>
    <t>SHAREHOLDER'S EQUITY</t>
  </si>
  <si>
    <t>DEBT &amp; INTEREST</t>
  </si>
  <si>
    <t>BASE CASE</t>
  </si>
  <si>
    <t>BEAR  / WORST CASE</t>
  </si>
  <si>
    <t>BULL / BEST CASE</t>
  </si>
  <si>
    <t>Total</t>
  </si>
  <si>
    <t>Continuing Operations</t>
  </si>
  <si>
    <t>cost of sales</t>
  </si>
  <si>
    <t>Administrative expenses</t>
  </si>
  <si>
    <t>Operating profit/(loss)</t>
  </si>
  <si>
    <t>Taxation</t>
  </si>
  <si>
    <t xml:space="preserve">Basic </t>
  </si>
  <si>
    <t>diluted</t>
  </si>
  <si>
    <t xml:space="preserve">Property Plant &amp; Equipment </t>
  </si>
  <si>
    <t xml:space="preserve">Right-of-Use Assets </t>
  </si>
  <si>
    <t>Net Assets</t>
  </si>
  <si>
    <t>Gross profit/(loss)</t>
  </si>
  <si>
    <t>Finance income</t>
  </si>
  <si>
    <t>finance costs</t>
  </si>
  <si>
    <t>corporation tax paid</t>
  </si>
  <si>
    <t>BREAKDOWN</t>
  </si>
  <si>
    <t>Revenue</t>
  </si>
  <si>
    <t xml:space="preserve">Total </t>
  </si>
  <si>
    <t>SEGMENT</t>
  </si>
  <si>
    <t>Operating profit</t>
  </si>
  <si>
    <t>EBITDA</t>
  </si>
  <si>
    <t>total</t>
  </si>
  <si>
    <t>PPE</t>
  </si>
  <si>
    <t>Depreciation and amortisation</t>
  </si>
  <si>
    <t>NEXT PLC</t>
  </si>
  <si>
    <t>revenue</t>
  </si>
  <si>
    <t>credit account interest</t>
  </si>
  <si>
    <t>impairment losses on customer and other receivables</t>
  </si>
  <si>
    <t>Distribution costs</t>
  </si>
  <si>
    <t>share of results of associates and joint ventures</t>
  </si>
  <si>
    <t>Trading profit</t>
  </si>
  <si>
    <t>Profit before taxation</t>
  </si>
  <si>
    <t>Profit/(loss) for the year attributable to equity holders of the paremt company</t>
  </si>
  <si>
    <t xml:space="preserve">Earnings/(losses) per share </t>
  </si>
  <si>
    <t>Intangible Assets</t>
  </si>
  <si>
    <t>Associates, joint ventures and other investments</t>
  </si>
  <si>
    <t>Defined benefit pension Asset</t>
  </si>
  <si>
    <t>other financial Assets</t>
  </si>
  <si>
    <t>Customer &amp; Other Receivables</t>
  </si>
  <si>
    <t>Right of return Asset</t>
  </si>
  <si>
    <t>cash and short term deposits</t>
  </si>
  <si>
    <t>Total Assets</t>
  </si>
  <si>
    <t>Bank loans and overdrafts</t>
  </si>
  <si>
    <t>Corporate bonds</t>
  </si>
  <si>
    <t>Trade Payables  &amp; Other Liabilities</t>
  </si>
  <si>
    <t>Lease liabilities</t>
  </si>
  <si>
    <t>other financial liabailities</t>
  </si>
  <si>
    <t>provisions</t>
  </si>
  <si>
    <t>lease liabilities</t>
  </si>
  <si>
    <t>other liabilities</t>
  </si>
  <si>
    <t>TOTAL CURRENT LIABILITIES</t>
  </si>
  <si>
    <t>Impairment in associates and joint ventures</t>
  </si>
  <si>
    <t>Exceptional items- curtailment loss</t>
  </si>
  <si>
    <t>Profit attributable to:</t>
  </si>
  <si>
    <t>Equity holders of the parent company</t>
  </si>
  <si>
    <t>non controlling interests</t>
  </si>
  <si>
    <t>661.6p</t>
  </si>
  <si>
    <t>655.9p</t>
  </si>
  <si>
    <t>605.5p</t>
  </si>
  <si>
    <t>615.1p</t>
  </si>
  <si>
    <t>760.1p</t>
  </si>
  <si>
    <t>745.4p</t>
  </si>
  <si>
    <t>573.4p</t>
  </si>
  <si>
    <t>570.5p</t>
  </si>
  <si>
    <t>524.0p</t>
  </si>
  <si>
    <t>530.8p</t>
  </si>
  <si>
    <t>223.3p</t>
  </si>
  <si>
    <t>221.9p</t>
  </si>
  <si>
    <t>Bank loans and overdraft</t>
  </si>
  <si>
    <t>Deferred tax liabilities</t>
  </si>
  <si>
    <t>Cash flows generated from  operations</t>
  </si>
  <si>
    <t>Net cash from Operating activities</t>
  </si>
  <si>
    <t>Cashflow from Investing activities</t>
  </si>
  <si>
    <t>Additions to PPE</t>
  </si>
  <si>
    <t>Movements in Capital accruals</t>
  </si>
  <si>
    <t>Payments to acquire PPE</t>
  </si>
  <si>
    <t>Proceeds from sale of PPE</t>
  </si>
  <si>
    <t>purchase of intangible assets</t>
  </si>
  <si>
    <t>Investment in subsidiaries</t>
  </si>
  <si>
    <t>Investment in associates and joint ventures</t>
  </si>
  <si>
    <t>Dividend from jointly controlled entity</t>
  </si>
  <si>
    <t>Net cash from Investing activities</t>
  </si>
  <si>
    <t>Cashflows from financing activities</t>
  </si>
  <si>
    <t>Repurchase of own shares</t>
  </si>
  <si>
    <t>purchase of shares by ESOT</t>
  </si>
  <si>
    <t>Disposal of shares by ESOT</t>
  </si>
  <si>
    <t>Purchase of equity from Non controlling interests</t>
  </si>
  <si>
    <t>Incentives received for leases within the scope of IFRS 16</t>
  </si>
  <si>
    <t>Lease payments</t>
  </si>
  <si>
    <t>Interest paid(including lease interest)</t>
  </si>
  <si>
    <t>Dividends paid to owners of NEXT plc</t>
  </si>
  <si>
    <t>Dividends paid to Non controlling interests in subsidiaries</t>
  </si>
  <si>
    <t>Net cash from financing activities</t>
  </si>
  <si>
    <t>exclude bank loans</t>
  </si>
  <si>
    <t>effect of exchange rate fluctuations on cash held</t>
  </si>
  <si>
    <t>closing cash and cash equivalents</t>
  </si>
  <si>
    <t>Opening cash and cash equivalenrs</t>
  </si>
  <si>
    <t>Drawdown of revolving credit facility</t>
  </si>
  <si>
    <t>Repayment of Loans</t>
  </si>
  <si>
    <t>Issue of shares in subsidiaries to non controlling interests</t>
  </si>
  <si>
    <t>Repayment of corporate bonds</t>
  </si>
  <si>
    <t>Issue of corporate bonds</t>
  </si>
  <si>
    <t>Return of capital via B share scheme</t>
  </si>
  <si>
    <t>Net (decrease)/increase in cash and cash equivalents</t>
  </si>
  <si>
    <t>Disposal of other investment</t>
  </si>
  <si>
    <t>Acquisition of other investments</t>
  </si>
  <si>
    <t>Disposal of preference shares in jointly controlled entity</t>
  </si>
  <si>
    <t>Proceeds from sale of held for sale assets</t>
  </si>
  <si>
    <t xml:space="preserve">Proceeds from sale and leaseback transactions </t>
  </si>
  <si>
    <t>Amounts loaned/repaid  to Joint ventures and associates</t>
  </si>
  <si>
    <t>Cash flows from operating activities</t>
  </si>
  <si>
    <t>Profit on disposal of associate</t>
  </si>
  <si>
    <t>Depreciation, impairment and (profit)/loss on disposal of property, plant and equipment</t>
  </si>
  <si>
    <t>Depreciation and impairment on right-of-use assets</t>
  </si>
  <si>
    <t>Amortisation and impairment of intangible assets</t>
  </si>
  <si>
    <t>Share option charge</t>
  </si>
  <si>
    <t>Share of profit of associates and joint ventures</t>
  </si>
  <si>
    <t>Exchange movement</t>
  </si>
  <si>
    <t>Increase in inventories and right of return asset</t>
  </si>
  <si>
    <t>(Increase)/decrease in customer and other receivables</t>
  </si>
  <si>
    <t>Increase/(decrease) in trade and other payables</t>
  </si>
  <si>
    <t>Net pension contributions less income statement charge</t>
  </si>
  <si>
    <t>Disposal of minority interest</t>
  </si>
  <si>
    <t xml:space="preserve"> </t>
  </si>
  <si>
    <t>NORMALISATION</t>
  </si>
  <si>
    <t>Online UK</t>
  </si>
  <si>
    <t>Online (International)</t>
  </si>
  <si>
    <t>Next Finance</t>
  </si>
  <si>
    <t>Total Platform</t>
  </si>
  <si>
    <t>Other business Activities</t>
  </si>
  <si>
    <t>Retail stores/Next Retail</t>
  </si>
  <si>
    <t>Next Online</t>
  </si>
  <si>
    <t>Next Finance/credit account interest</t>
  </si>
  <si>
    <t>Next Retail</t>
  </si>
  <si>
    <t>International Retail</t>
  </si>
  <si>
    <t>Property Management</t>
  </si>
  <si>
    <t>Franchise, Sourcing and other</t>
  </si>
  <si>
    <t>Goods sold through retail stores and websites</t>
  </si>
  <si>
    <t>Finance credit interest</t>
  </si>
  <si>
    <t>Royalty income</t>
  </si>
  <si>
    <t>Rental income</t>
  </si>
  <si>
    <t>Service Revenue</t>
  </si>
  <si>
    <t>Loyalty programme and gift cards</t>
  </si>
  <si>
    <t>rev</t>
  </si>
  <si>
    <t>cost</t>
  </si>
  <si>
    <t>profit</t>
  </si>
  <si>
    <t xml:space="preserve">sourcing </t>
  </si>
  <si>
    <t>Franchise and wholesale</t>
  </si>
  <si>
    <t>Central and other costs</t>
  </si>
  <si>
    <t>Retail stores</t>
  </si>
  <si>
    <t>GTV</t>
  </si>
  <si>
    <t>cost plus services</t>
  </si>
  <si>
    <t>use</t>
  </si>
  <si>
    <t xml:space="preserve">Next sourcing </t>
  </si>
  <si>
    <t>Property management</t>
  </si>
  <si>
    <t>Lipsy</t>
  </si>
  <si>
    <t>victoria secret JV</t>
  </si>
  <si>
    <t>Reiss</t>
  </si>
  <si>
    <t>NEXT’s share of profits from its investments in associates and joint ventures</t>
  </si>
  <si>
    <t>TP subsidiaries (Joules, Reiss and FatFace).</t>
  </si>
  <si>
    <t>Total Next sales</t>
  </si>
  <si>
    <t>Revenue from acquired businesses and brands</t>
  </si>
  <si>
    <t>Comission sales adjustment</t>
  </si>
  <si>
    <t>other IFRS 15 adjustments</t>
  </si>
  <si>
    <t>Total platform</t>
  </si>
  <si>
    <t>Product Revenue</t>
  </si>
  <si>
    <t>Depreciation</t>
  </si>
  <si>
    <t>ROU</t>
  </si>
  <si>
    <t>Amortisation</t>
  </si>
  <si>
    <t>Brands</t>
  </si>
  <si>
    <t>customer relationships</t>
  </si>
  <si>
    <t>software</t>
  </si>
  <si>
    <t>Segment</t>
  </si>
  <si>
    <t>Online (UK and International)</t>
  </si>
  <si>
    <t>Other Business activities</t>
  </si>
  <si>
    <t>Intangible assets excluding software</t>
  </si>
  <si>
    <t>software amortisation</t>
  </si>
  <si>
    <t>Impairment</t>
  </si>
  <si>
    <t>net</t>
  </si>
  <si>
    <t>Amortization, impairemnt and loss on disposal of software</t>
  </si>
  <si>
    <t>Software</t>
  </si>
  <si>
    <t>Ratios</t>
  </si>
  <si>
    <t>Gross profit Margin</t>
  </si>
  <si>
    <t>other losses/Gain-on financial instruments</t>
  </si>
  <si>
    <t>difference</t>
  </si>
  <si>
    <t>run rate</t>
  </si>
  <si>
    <t>spike excess</t>
  </si>
  <si>
    <t>Gain on Reiss transaction- exceptional items</t>
  </si>
  <si>
    <t>Cleaned</t>
  </si>
  <si>
    <t>Net finance cost</t>
  </si>
  <si>
    <t>EBIT margin</t>
  </si>
  <si>
    <t>EBITDA margin</t>
  </si>
  <si>
    <t>Other Ratios</t>
  </si>
  <si>
    <t>Adj EPS growth  % YOY</t>
  </si>
  <si>
    <t>Finance costs</t>
  </si>
  <si>
    <t>Interest on bonds and other borrowings</t>
  </si>
  <si>
    <t>discount unwind</t>
  </si>
  <si>
    <t>Finance costs on lease liabaility</t>
  </si>
  <si>
    <t>interest on cash and bank deposits</t>
  </si>
  <si>
    <t>other interest receivable</t>
  </si>
  <si>
    <r>
      <t xml:space="preserve">to </t>
    </r>
    <r>
      <rPr>
        <sz val="11"/>
        <color theme="0"/>
        <rFont val="Aptos Narrow"/>
        <family val="2"/>
        <scheme val="minor"/>
      </rPr>
      <t>to eliminate</t>
    </r>
  </si>
  <si>
    <t>Total excluding discount unwind</t>
  </si>
  <si>
    <t>Taxation adjusted and cleaned out</t>
  </si>
  <si>
    <t>Reported</t>
  </si>
  <si>
    <t>adjusted</t>
  </si>
  <si>
    <t xml:space="preserve">cleaned </t>
  </si>
  <si>
    <t>Profit before Tax</t>
  </si>
  <si>
    <t>Tax</t>
  </si>
  <si>
    <t>Net income</t>
  </si>
  <si>
    <t>total adjusting items</t>
  </si>
  <si>
    <t>Marginal tax rate</t>
  </si>
  <si>
    <t xml:space="preserve">Depreciation </t>
  </si>
  <si>
    <t>Depreciation &amp;Amortisation</t>
  </si>
  <si>
    <t>Non current Asset</t>
  </si>
  <si>
    <t>Right of use Asset</t>
  </si>
  <si>
    <t>Customer Relationships</t>
  </si>
  <si>
    <t>Intangible assets</t>
  </si>
  <si>
    <t xml:space="preserve">software </t>
  </si>
  <si>
    <t>Useful lives</t>
  </si>
  <si>
    <t>Freehold and long leasehold property</t>
  </si>
  <si>
    <t>Plant and equipment</t>
  </si>
  <si>
    <t>Leasehold improvements</t>
  </si>
  <si>
    <t>50 years</t>
  </si>
  <si>
    <t>6 – 25 years</t>
  </si>
  <si>
    <t>the period of the lease, or useful life if shorter</t>
  </si>
  <si>
    <t>Assets under the course of construction</t>
  </si>
  <si>
    <t>not depreciated</t>
  </si>
  <si>
    <t>PPE(provided during the year)</t>
  </si>
  <si>
    <t>B</t>
  </si>
  <si>
    <t>A</t>
  </si>
  <si>
    <t>S</t>
  </si>
  <si>
    <t>E</t>
  </si>
  <si>
    <t>Freehold property</t>
  </si>
  <si>
    <t>Leasehold property</t>
  </si>
  <si>
    <t>Right of Use of Assets</t>
  </si>
  <si>
    <t>Non current Asset(leasehold property, freehold property, plant and equipment, assets under construction)</t>
  </si>
  <si>
    <t>Total PPE</t>
  </si>
  <si>
    <t>A-additions(CAPEX and Additions)</t>
  </si>
  <si>
    <t>S-Substractions(Depreciation, Impairment and Disposals</t>
  </si>
  <si>
    <t>Capex/Additions</t>
  </si>
  <si>
    <t>Disposals</t>
  </si>
  <si>
    <t>Reclassified to held for sale</t>
  </si>
  <si>
    <t>Ending Balance</t>
  </si>
  <si>
    <t>Total depreciation</t>
  </si>
  <si>
    <t>Impairment charge/ (reversal-negative)</t>
  </si>
  <si>
    <t>Intangibles</t>
  </si>
  <si>
    <t>Goodwill</t>
  </si>
  <si>
    <t>Brand names and Trademarks</t>
  </si>
  <si>
    <t>Software under construction</t>
  </si>
  <si>
    <t>Associates, Joint ventures and other investments</t>
  </si>
  <si>
    <t>Additions</t>
  </si>
  <si>
    <t xml:space="preserve">Interest in associates and Joint ventures </t>
  </si>
  <si>
    <t>Other investments</t>
  </si>
  <si>
    <t>Investment in Associates, joint ventures and other investments</t>
  </si>
  <si>
    <t>Intangible Total</t>
  </si>
  <si>
    <t>Operating Profit</t>
  </si>
  <si>
    <t>Group operating profit</t>
  </si>
  <si>
    <t>Depreciation on property, plant and equipment</t>
  </si>
  <si>
    <t>Depreciation on right-of-use assets</t>
  </si>
  <si>
    <t>Loss on disposal of property, plant and equipment</t>
  </si>
  <si>
    <t>Gain on sale and leasebacks</t>
  </si>
  <si>
    <t>Gain on lease modifications, early exit and reassessed lease term</t>
  </si>
  <si>
    <t>Variable rentals payable</t>
  </si>
  <si>
    <t>Job Retention Scheme receipts</t>
  </si>
  <si>
    <t>Cost of inventories recognised as an expense</t>
  </si>
  <si>
    <t>Write-down of inventories to net realisable value</t>
  </si>
  <si>
    <t>Amortisation and impairment of intangible assets excluding software</t>
  </si>
  <si>
    <t>Amortisation and impairment and loss on software</t>
  </si>
  <si>
    <t>Gain/(loss) on financial instruments</t>
  </si>
  <si>
    <t>Group operating profit is stated after charging/(crediting):</t>
  </si>
  <si>
    <t>net  charge/ Reversal of impairment on property, plant and equipment</t>
  </si>
  <si>
    <t>Net charge/ Reversal of impairment on right-of-use assets</t>
  </si>
  <si>
    <t>Next Finance/credit account interest/interest income</t>
  </si>
  <si>
    <t>Full price sales</t>
  </si>
  <si>
    <t>Next brand</t>
  </si>
  <si>
    <t>wholly-owned brands and licenses</t>
  </si>
  <si>
    <t>third party brands</t>
  </si>
  <si>
    <t>label total</t>
  </si>
  <si>
    <t>total Online</t>
  </si>
  <si>
    <t>Online</t>
  </si>
  <si>
    <t>International Online</t>
  </si>
  <si>
    <t>Total full price sales</t>
  </si>
  <si>
    <t>Markdown &amp; Clearance</t>
  </si>
  <si>
    <t>Total sales</t>
  </si>
  <si>
    <t>wholly owned brands &amp; Licensed products</t>
  </si>
  <si>
    <t>total UK</t>
  </si>
  <si>
    <t>international direct</t>
  </si>
  <si>
    <t>international aggregator</t>
  </si>
  <si>
    <t xml:space="preserve">total international </t>
  </si>
  <si>
    <t>Uk-online next</t>
  </si>
  <si>
    <t>UK-online label</t>
  </si>
  <si>
    <t>Uk-online total</t>
  </si>
  <si>
    <t>retail stores</t>
  </si>
  <si>
    <t>Total Uk</t>
  </si>
  <si>
    <t>Online international</t>
  </si>
  <si>
    <t>product full price sales</t>
  </si>
  <si>
    <t xml:space="preserve">next finance </t>
  </si>
  <si>
    <t>total full price sales</t>
  </si>
  <si>
    <t>markdown and sales</t>
  </si>
  <si>
    <t>international</t>
  </si>
  <si>
    <t>online Uk division-Total sales</t>
  </si>
  <si>
    <t>UK credit</t>
  </si>
  <si>
    <t>Uk cash</t>
  </si>
  <si>
    <t>Uk total</t>
  </si>
  <si>
    <t>Credit sales</t>
  </si>
  <si>
    <t>closing customer receivables</t>
  </si>
  <si>
    <t>Average customer receivables</t>
  </si>
  <si>
    <t>1.32bn</t>
  </si>
  <si>
    <t>Total Group sales</t>
  </si>
  <si>
    <t>52weeks</t>
  </si>
  <si>
    <t>Full price sales growth</t>
  </si>
  <si>
    <t>Established brands</t>
  </si>
  <si>
    <t>brands since 2023</t>
  </si>
  <si>
    <t>full price sales history</t>
  </si>
  <si>
    <t>Group sales</t>
  </si>
  <si>
    <t>Online uk</t>
  </si>
  <si>
    <t>uk product total</t>
  </si>
  <si>
    <t>online international</t>
  </si>
  <si>
    <t>product total</t>
  </si>
  <si>
    <t>next finance</t>
  </si>
  <si>
    <t>other business activities</t>
  </si>
  <si>
    <t>Next share of sales from investments</t>
  </si>
  <si>
    <t>other income e.g delivery charges</t>
  </si>
  <si>
    <t>from 52weeks to 53weeks</t>
  </si>
  <si>
    <t>revenue from 53rd weeek</t>
  </si>
  <si>
    <t>commission on third party brand sales</t>
  </si>
  <si>
    <t>minority interest share of sales in subsidiaries consolidated in Next account</t>
  </si>
  <si>
    <t>plus</t>
  </si>
  <si>
    <t>less</t>
  </si>
  <si>
    <t>commission sales (full price &amp;markdown, uk &amp; international)</t>
  </si>
  <si>
    <t>sales from investments not consolidated in Next account</t>
  </si>
  <si>
    <t>Notes for Restructuring</t>
  </si>
  <si>
    <t>Total D&amp;A</t>
  </si>
  <si>
    <t>impairment</t>
  </si>
  <si>
    <t>intangible excld software</t>
  </si>
  <si>
    <t>Amortisation&amp; Impairment</t>
  </si>
  <si>
    <t>diffferences</t>
  </si>
  <si>
    <t>Reversal</t>
  </si>
  <si>
    <t>Charge</t>
  </si>
  <si>
    <t>Impairment charge in Intangible</t>
  </si>
  <si>
    <t>Tax expense</t>
  </si>
  <si>
    <t>Current Tax</t>
  </si>
  <si>
    <t>Restructured value</t>
  </si>
  <si>
    <t>Current tax expense</t>
  </si>
  <si>
    <t>Deferred Tax expense</t>
  </si>
  <si>
    <t>Reported Effective tax rate</t>
  </si>
  <si>
    <t>Cleaned Effective Tax rate</t>
  </si>
  <si>
    <t>current  tax assets</t>
  </si>
  <si>
    <t>Operating working Capital</t>
  </si>
  <si>
    <t>Working Capital</t>
  </si>
  <si>
    <t>CurrentOperational Assets</t>
  </si>
  <si>
    <t>Current Operational Liabilities</t>
  </si>
  <si>
    <t>Days Sales outstanding</t>
  </si>
  <si>
    <t>Days Inventory Outstanding</t>
  </si>
  <si>
    <t>Days Payables outstanding</t>
  </si>
  <si>
    <t>Operating cash cycle</t>
  </si>
  <si>
    <t>ROIC</t>
  </si>
  <si>
    <t xml:space="preserve">Current </t>
  </si>
  <si>
    <t>Acid test/Quick</t>
  </si>
  <si>
    <t>Debt to Equity</t>
  </si>
  <si>
    <t>Cash at bank and in hand</t>
  </si>
  <si>
    <t>ST deposits</t>
  </si>
  <si>
    <t>Money market funds</t>
  </si>
  <si>
    <t>prepayments</t>
  </si>
  <si>
    <t>other debtors</t>
  </si>
  <si>
    <t>Amount due from associates and joint ventures</t>
  </si>
  <si>
    <t>Net Customer receivables (net ECL)</t>
  </si>
  <si>
    <t>other trade  receivables(net of allowance)</t>
  </si>
  <si>
    <t>Net customer receivables</t>
  </si>
  <si>
    <t>allowance of expected credit losses</t>
  </si>
  <si>
    <t>other trade receivables</t>
  </si>
  <si>
    <t>allowance for doubtful debts</t>
  </si>
  <si>
    <t>Foreign currency translation</t>
  </si>
  <si>
    <t>cashflow hedge reserve</t>
  </si>
  <si>
    <t>ESOT reserve</t>
  </si>
  <si>
    <t>Cost of hedging reserve</t>
  </si>
  <si>
    <t>Other Reserve</t>
  </si>
  <si>
    <t>Capital redemption reserve</t>
  </si>
  <si>
    <t>Retained Earnings includes profit for the period</t>
  </si>
  <si>
    <t>non controlling interest</t>
  </si>
  <si>
    <t>Total Equity</t>
  </si>
  <si>
    <t>Bank overdraft</t>
  </si>
  <si>
    <t>Drawdown on revolving credit facility</t>
  </si>
  <si>
    <t>Bank loans</t>
  </si>
  <si>
    <t>Current Liabilities</t>
  </si>
  <si>
    <t>Non current liabilities</t>
  </si>
  <si>
    <t>Total liabilities</t>
  </si>
  <si>
    <t>TOTAL NON  CURRENT LIABILITIES</t>
  </si>
  <si>
    <t xml:space="preserve">profit/loss on disposal </t>
  </si>
  <si>
    <t>Amortisation, impairemnt &amp; disposals of investments</t>
  </si>
  <si>
    <t>cfs</t>
  </si>
  <si>
    <t>schdl</t>
  </si>
  <si>
    <t>schd</t>
  </si>
  <si>
    <t>From group operating profit</t>
  </si>
  <si>
    <t>Investments</t>
  </si>
  <si>
    <t>Share of profit of associates and Joint ventures</t>
  </si>
  <si>
    <t>Unrealised foreign exchange losses</t>
  </si>
  <si>
    <t>in central and other costs</t>
  </si>
  <si>
    <t>Impairment of associates and other investments</t>
  </si>
  <si>
    <t xml:space="preserve">Profit on sale of waltham abbey land/ </t>
  </si>
  <si>
    <t>Central costs</t>
  </si>
  <si>
    <t>removed in normalised I/S</t>
  </si>
  <si>
    <t>not</t>
  </si>
  <si>
    <t>others/difference</t>
  </si>
  <si>
    <t>Included in associate &amp;JV ventures</t>
  </si>
  <si>
    <t>Brand and customer relationship amortisation</t>
  </si>
  <si>
    <t>Depreciation, impairment, disposal, assets held for sale/sale and leaseback</t>
  </si>
  <si>
    <t>Depreciation &amp; Impairment</t>
  </si>
  <si>
    <t>Intangible</t>
  </si>
  <si>
    <t>Amortisation &amp; Impairment</t>
  </si>
  <si>
    <t>Cash generated from Operations</t>
  </si>
  <si>
    <t>Depreciation, reversal of impairment and (profit)/loss on disposal of property, plant and equipment</t>
  </si>
  <si>
    <t>interest received</t>
  </si>
  <si>
    <t>cash generated from operations</t>
  </si>
  <si>
    <t>Profit on assets held for sale</t>
  </si>
  <si>
    <t>Depreciation, gains on lease modifications and disposals and impairment reversals on right-of-use assets</t>
  </si>
  <si>
    <t>Amortisation, impairment and loss on disposal of intangible assets</t>
  </si>
  <si>
    <t>Cash flow from Operations</t>
  </si>
  <si>
    <t>Difference</t>
  </si>
  <si>
    <t>deducted from I/S</t>
  </si>
  <si>
    <t>to deduct</t>
  </si>
  <si>
    <t>Investment</t>
  </si>
  <si>
    <t>intangibles exckd siftware</t>
  </si>
  <si>
    <t>Brand &amp; customer relationship amortization</t>
  </si>
  <si>
    <t>CF</t>
  </si>
  <si>
    <t xml:space="preserve">Amortisation </t>
  </si>
  <si>
    <t>overall total</t>
  </si>
  <si>
    <t>difference(impairment)</t>
  </si>
  <si>
    <t>Adjusting for non cash items</t>
  </si>
  <si>
    <t>Changes in Working capital:</t>
  </si>
  <si>
    <t>Capital expenditure:</t>
  </si>
  <si>
    <t>Total Capital expenditure</t>
  </si>
  <si>
    <t>Proceeds from disposals:</t>
  </si>
  <si>
    <t>Investment activity:</t>
  </si>
  <si>
    <t>capital returns to shareholders:</t>
  </si>
  <si>
    <t>Share schemes:</t>
  </si>
  <si>
    <t>Debt movements:</t>
  </si>
  <si>
    <t>Lease financing:</t>
  </si>
  <si>
    <t>Non controlling interests:</t>
  </si>
  <si>
    <t>CF figures</t>
  </si>
  <si>
    <t>a</t>
  </si>
  <si>
    <t>b</t>
  </si>
  <si>
    <t>c</t>
  </si>
  <si>
    <t>d</t>
  </si>
  <si>
    <t>e</t>
  </si>
  <si>
    <t>Share based option</t>
  </si>
  <si>
    <t>gain on sale &amp;leaseback</t>
  </si>
  <si>
    <t>profit/gain and loss on disposal</t>
  </si>
  <si>
    <t>loss/ profit on disposal of intangibles</t>
  </si>
  <si>
    <t>profit/loss on disposal on Investment</t>
  </si>
  <si>
    <t>profit/loss</t>
  </si>
  <si>
    <t>Total gain/loss&amp; disposal</t>
  </si>
  <si>
    <t>Total gain/loss &amp; disposal</t>
  </si>
  <si>
    <t>write-off of other investments</t>
  </si>
  <si>
    <t>Other investments((write off)</t>
  </si>
  <si>
    <t>write off</t>
  </si>
  <si>
    <t>Write off</t>
  </si>
  <si>
    <t>Impairment reversal of ROU</t>
  </si>
  <si>
    <t>Software Impairment Run-rate</t>
  </si>
  <si>
    <t>Total D&amp;A add-back</t>
  </si>
  <si>
    <t>Software impairment</t>
  </si>
  <si>
    <t>Intangible disposal loss/gain</t>
  </si>
  <si>
    <t>TP implementation costs</t>
  </si>
  <si>
    <t>NCA  impairment ROU</t>
  </si>
  <si>
    <t>Associate and JV Investment impairment run rate</t>
  </si>
  <si>
    <t>Impairment reversal of PPE</t>
  </si>
  <si>
    <t>Impairment charge spike of PPE</t>
  </si>
  <si>
    <t>NCA  impairment  PPE &amp; run-rate</t>
  </si>
  <si>
    <t>Goodwill impairment</t>
  </si>
  <si>
    <t xml:space="preserve"> Full Price sales growth</t>
  </si>
  <si>
    <t xml:space="preserve">Online UK </t>
  </si>
  <si>
    <t>Full year Price sales by division :UK and International</t>
  </si>
  <si>
    <t>Total UK</t>
  </si>
  <si>
    <t>Online International</t>
  </si>
  <si>
    <t>Total product sales</t>
  </si>
  <si>
    <t>Finance Interest income</t>
  </si>
  <si>
    <t xml:space="preserve">Group profit before Tax </t>
  </si>
  <si>
    <t>Group profit before Tax  growth</t>
  </si>
  <si>
    <t>Post tax EPS</t>
  </si>
  <si>
    <t>787.3p</t>
  </si>
  <si>
    <t>Post tax EPS(growth)</t>
  </si>
  <si>
    <t>Retail stores(like for like -3% &amp; addition of new space 1.5%)</t>
  </si>
  <si>
    <t>Guidance</t>
  </si>
  <si>
    <t>Retail stores profit</t>
  </si>
  <si>
    <t>181m</t>
  </si>
  <si>
    <t>Retail store net margin</t>
  </si>
  <si>
    <t>net margins by division:</t>
  </si>
  <si>
    <t>Next brand (UK)</t>
  </si>
  <si>
    <t>Label (UK)</t>
  </si>
  <si>
    <t>Online International full price sales</t>
  </si>
  <si>
    <t>Net margin</t>
  </si>
  <si>
    <t>Next finance</t>
  </si>
  <si>
    <t>Profits</t>
  </si>
  <si>
    <t>175m</t>
  </si>
  <si>
    <t>Customer receivables balance year end(-1%)</t>
  </si>
  <si>
    <t>Ordinary dividends</t>
  </si>
  <si>
    <t>324m</t>
  </si>
  <si>
    <t xml:space="preserve">a forecast of post tax profit </t>
  </si>
  <si>
    <t xml:space="preserve">Dividend cover </t>
  </si>
  <si>
    <t>Dividend is paid in August and January</t>
  </si>
  <si>
    <t>Net  debt</t>
  </si>
  <si>
    <t>790m</t>
  </si>
  <si>
    <t>EBITDA to interest coverage</t>
  </si>
  <si>
    <t>Total debt to EBITDA(multiples)</t>
  </si>
  <si>
    <t>Total Debt excld leases</t>
  </si>
  <si>
    <t>Total Debt incld leases</t>
  </si>
  <si>
    <t>incld leases</t>
  </si>
  <si>
    <t>EBIAT/NOPAT</t>
  </si>
  <si>
    <t>EBIAT margin</t>
  </si>
  <si>
    <t>CAGR</t>
  </si>
  <si>
    <t>SG&amp;A as a % of sales</t>
  </si>
  <si>
    <t>Net profit /Return on sales margin</t>
  </si>
  <si>
    <t>Asset turnover (Total Asset)(turns/multiples)</t>
  </si>
  <si>
    <t>Debt to Total Capital</t>
  </si>
  <si>
    <t>Interest Coverage</t>
  </si>
  <si>
    <t>Return on Assets</t>
  </si>
  <si>
    <t>Return On Equity</t>
  </si>
  <si>
    <t>Financial Leverage</t>
  </si>
  <si>
    <t>Dupont ROE</t>
  </si>
  <si>
    <t>Invested capital(inclds lease &amp; deducts cash &amp; cash equivalent)</t>
  </si>
  <si>
    <t xml:space="preserve">Product revenue growth </t>
  </si>
  <si>
    <t>53weeks Revenue</t>
  </si>
  <si>
    <t>Revenue and Segment</t>
  </si>
  <si>
    <t>Next Online growth</t>
  </si>
  <si>
    <t>Next Retail growth</t>
  </si>
  <si>
    <t>Next Finance growth</t>
  </si>
  <si>
    <t>Total Revenue growth % YOY</t>
  </si>
  <si>
    <t>Online UK growth</t>
  </si>
  <si>
    <t>Online International growth</t>
  </si>
  <si>
    <t>Cost of sales Margin</t>
  </si>
  <si>
    <t>Share count</t>
  </si>
  <si>
    <t>Aim :</t>
  </si>
  <si>
    <t>To examine the firm's financial projections along with its competitors to determine if it is a SMART investment or not</t>
  </si>
  <si>
    <t>Days in the period</t>
  </si>
  <si>
    <t>Million</t>
  </si>
  <si>
    <t xml:space="preserve">Percent </t>
  </si>
  <si>
    <t>Multiple</t>
  </si>
  <si>
    <t>no fill</t>
  </si>
  <si>
    <t>[$'m]</t>
  </si>
  <si>
    <t>Growth</t>
  </si>
  <si>
    <t>Dividend Payout ratio</t>
  </si>
  <si>
    <t>Total Group sales by division :UK and International</t>
  </si>
  <si>
    <t>Next's share of sales from investments</t>
  </si>
  <si>
    <t>Depreciation &amp; Software amortisation</t>
  </si>
  <si>
    <t>Capex</t>
  </si>
  <si>
    <t>from presentation slides</t>
  </si>
  <si>
    <t>Operating costs % revenue</t>
  </si>
  <si>
    <t>Cost of sales as a % of revenue</t>
  </si>
  <si>
    <t>Net debt and Interest Assumptions</t>
  </si>
  <si>
    <t>Current Operating Assets % revenues</t>
  </si>
  <si>
    <t>Current Operating Liabilities % revenues</t>
  </si>
  <si>
    <t>D&amp;A Prior year PP&amp;E and intangible assets</t>
  </si>
  <si>
    <t>Income Tax Assumption</t>
  </si>
  <si>
    <t>Variable rate Term Debt: Spread</t>
  </si>
  <si>
    <t>Equity Assumptions</t>
  </si>
  <si>
    <t>Issuance/(buyback) of common shares</t>
  </si>
  <si>
    <t>Dividend Payout Ratio on common shares %</t>
  </si>
  <si>
    <t>PPE&amp; INTANGIBLES ASSSUMPTIONS</t>
  </si>
  <si>
    <t>Capex as a % of Revenue</t>
  </si>
  <si>
    <t>Working Capital/ other</t>
  </si>
  <si>
    <t>investments</t>
  </si>
  <si>
    <t>corporation Tax</t>
  </si>
  <si>
    <t>Ordinary dividends and B shares</t>
  </si>
  <si>
    <t>Buybacks</t>
  </si>
  <si>
    <t>Fixed assets &amp; software</t>
  </si>
  <si>
    <t>Stock</t>
  </si>
  <si>
    <t>Customer receivables</t>
  </si>
  <si>
    <t>Average debtor days</t>
  </si>
  <si>
    <t>Other debtors</t>
  </si>
  <si>
    <t>Creditors &amp; Derivatives</t>
  </si>
  <si>
    <t>pension surplus</t>
  </si>
  <si>
    <t>Net debt(excld lease debt)</t>
  </si>
  <si>
    <t>Right of Use Assets</t>
  </si>
  <si>
    <t>Lease debt</t>
  </si>
  <si>
    <t>Facilities and Net debt</t>
  </si>
  <si>
    <t>Cash available for share buyback  for investments</t>
  </si>
  <si>
    <t>Buybacks to date</t>
  </si>
  <si>
    <t>Operational cashflow</t>
  </si>
  <si>
    <t xml:space="preserve">Financing </t>
  </si>
  <si>
    <t>Bond</t>
  </si>
  <si>
    <t>Net debt</t>
  </si>
  <si>
    <t>Net debt and financing</t>
  </si>
  <si>
    <t>Retail Stores</t>
  </si>
  <si>
    <t>New space</t>
  </si>
  <si>
    <t xml:space="preserve">Like for like </t>
  </si>
  <si>
    <t>Lease Interest Charge</t>
  </si>
  <si>
    <t>Profit</t>
  </si>
  <si>
    <t>Margin</t>
  </si>
  <si>
    <t>Total UK sales</t>
  </si>
  <si>
    <t>total sales</t>
  </si>
  <si>
    <t>UK cash</t>
  </si>
  <si>
    <t>Total excld aggegators</t>
  </si>
  <si>
    <t>International(next websites)</t>
  </si>
  <si>
    <t>Customer Analysis(excludes third party aggregators and Total platform websites)</t>
  </si>
  <si>
    <t>Dividend yield</t>
  </si>
  <si>
    <t>UK next</t>
  </si>
  <si>
    <t>Uk non-next</t>
  </si>
  <si>
    <t xml:space="preserve">International Next </t>
  </si>
  <si>
    <t>international Non-next</t>
  </si>
  <si>
    <t>Next total</t>
  </si>
  <si>
    <t>non next total</t>
  </si>
  <si>
    <t>Fixed costs as a % of sales</t>
  </si>
  <si>
    <t>Technology</t>
  </si>
  <si>
    <t>product</t>
  </si>
  <si>
    <t>finance, HR &amp; Legal</t>
  </si>
  <si>
    <t>WOBL full price</t>
  </si>
  <si>
    <t>International Direct</t>
  </si>
  <si>
    <t>International Aggregators</t>
  </si>
  <si>
    <t>Total International</t>
  </si>
  <si>
    <t>full price sales</t>
  </si>
  <si>
    <t>Lease interest</t>
  </si>
  <si>
    <t>operating Profit incld lease interest</t>
  </si>
  <si>
    <t>External finance interest</t>
  </si>
  <si>
    <t>Total ordinary dividend</t>
  </si>
  <si>
    <t>Capital returned through B share scheme</t>
  </si>
  <si>
    <t>360p</t>
  </si>
  <si>
    <t>268p</t>
  </si>
  <si>
    <t>233p</t>
  </si>
  <si>
    <t>Post-tax EPS</t>
  </si>
  <si>
    <t>636.3p</t>
  </si>
  <si>
    <t>744.2p</t>
  </si>
  <si>
    <t>Total Group Sales</t>
  </si>
  <si>
    <t>Total Next trading sales</t>
  </si>
  <si>
    <t>Non recurring, Non cash items</t>
  </si>
  <si>
    <t>property provision/ IT impairment</t>
  </si>
  <si>
    <t>Impairment of investments</t>
  </si>
  <si>
    <t>Bad debt provision release</t>
  </si>
  <si>
    <t>foreign exchange loss/gain</t>
  </si>
  <si>
    <t>Effective tax rate</t>
  </si>
  <si>
    <t>Tax charge</t>
  </si>
  <si>
    <t>Profit after tax</t>
  </si>
  <si>
    <t>579p</t>
  </si>
  <si>
    <t>207p</t>
  </si>
  <si>
    <t>Surplus cash before distributions</t>
  </si>
  <si>
    <t>profit before tax</t>
  </si>
  <si>
    <t>profit from 53rd week</t>
  </si>
  <si>
    <t>Total distributions</t>
  </si>
  <si>
    <t>Net cashflow</t>
  </si>
  <si>
    <t>Credit sales(online &amp; retail credit sales &amp; interest income)</t>
  </si>
  <si>
    <t>Total profit</t>
  </si>
  <si>
    <t>Equity profit</t>
  </si>
  <si>
    <t>Service profit</t>
  </si>
  <si>
    <t>Subsidiary sales &amp; other</t>
  </si>
  <si>
    <t>Total interest</t>
  </si>
  <si>
    <t>Post-amortisation profit before tax</t>
  </si>
  <si>
    <t>Final ordinary dividend</t>
  </si>
  <si>
    <t>Exceptional gain- Reiss</t>
  </si>
  <si>
    <t>Non cash</t>
  </si>
  <si>
    <t>Online Receivables</t>
  </si>
  <si>
    <t>ESOT</t>
  </si>
  <si>
    <t>Staff Incentives</t>
  </si>
  <si>
    <t>Reiss &amp; Fatface</t>
  </si>
  <si>
    <t>Next</t>
  </si>
  <si>
    <t>other creditors/ derivatives</t>
  </si>
  <si>
    <t>Investments(brand acq:brand name,goodwill, investments)</t>
  </si>
  <si>
    <t>Sales on client websites</t>
  </si>
  <si>
    <t>Total platform;  Sales analysis</t>
  </si>
  <si>
    <t>Commission Income</t>
  </si>
  <si>
    <t>Cost plus income</t>
  </si>
  <si>
    <t>Recharges (at cost)</t>
  </si>
  <si>
    <t>Next income</t>
  </si>
  <si>
    <t>Goodwill and investments</t>
  </si>
  <si>
    <t>Total sales includes sales made through Total Platform (TP) websites.</t>
  </si>
  <si>
    <t>Full price sales excludes sales made through TP websites</t>
  </si>
  <si>
    <t>Financial interest</t>
  </si>
  <si>
    <t>Debtors/ other receivables</t>
  </si>
  <si>
    <t>operating profit</t>
  </si>
  <si>
    <t>Full price Online credit sales</t>
  </si>
  <si>
    <t>Markdown online credit sales</t>
  </si>
  <si>
    <t>Retail credit sales</t>
  </si>
  <si>
    <t>interest income</t>
  </si>
  <si>
    <t>Interest income</t>
  </si>
  <si>
    <t>Bad debt charge</t>
  </si>
  <si>
    <t>Overheads</t>
  </si>
  <si>
    <t>Profit before cost of funding</t>
  </si>
  <si>
    <t>Cost of funding</t>
  </si>
  <si>
    <t>Net profit</t>
  </si>
  <si>
    <t>operating profit incld lease interest</t>
  </si>
  <si>
    <t>Capex ($)</t>
  </si>
  <si>
    <t>Total ex aggregator</t>
  </si>
  <si>
    <t>Third party aggregators</t>
  </si>
  <si>
    <t>steady increase</t>
  </si>
  <si>
    <t>increases abruptly</t>
  </si>
  <si>
    <t>stagnant,lacking &amp; fluctuating</t>
  </si>
  <si>
    <t>increases and decreases</t>
  </si>
  <si>
    <t>stagnant, increase</t>
  </si>
  <si>
    <t>increases, stagnant</t>
  </si>
  <si>
    <t>total external revenue</t>
  </si>
  <si>
    <t>Total Platform +next sale of investment</t>
  </si>
  <si>
    <t>TP + Next share of investments</t>
  </si>
  <si>
    <t>TP &amp; sale of investment group sales</t>
  </si>
  <si>
    <t>Distribution costs as a % of sales</t>
  </si>
  <si>
    <t>Administrative expenses as a % of sales</t>
  </si>
  <si>
    <t>FIXED ASSET, INTANGIBLE,  DEPRECIATION &amp;AMORTISATION</t>
  </si>
  <si>
    <t>Income Statement items</t>
  </si>
  <si>
    <t>═══════════════════════════════════════════════════════</t>
  </si>
  <si>
    <t>SEGMENT REVENUE BUILD (feeds into the IS, shown as</t>
  </si>
  <si>
    <t>supporting schedule or top section)</t>
  </si>
  <si>
    <t xml:space="preserve">  NEXT Online subtotal</t>
  </si>
  <si>
    <t>Next Finance / credit interest</t>
  </si>
  <si>
    <t>Other business activities</t>
  </si>
  <si>
    <t>─────────────────────────────────────────────────────</t>
  </si>
  <si>
    <t>TOTAL STATUTORY REVENUE                          [Check: 0]</t>
  </si>
  <si>
    <t>YoY revenue growth %</t>
  </si>
  <si>
    <t>COST OF SALES / GROSS PROFIT</t>
  </si>
  <si>
    <t>Cost of sales</t>
  </si>
  <si>
    <t>Expected credit loss (ECL) on Finance receivables</t>
  </si>
  <si>
    <t>GROSS PROFIT</t>
  </si>
  <si>
    <t>Gross margin %</t>
  </si>
  <si>
    <t>OPERATING EXPENSES</t>
  </si>
  <si>
    <t xml:space="preserve">  (before exceptional items / adjusting items split out)</t>
  </si>
  <si>
    <t>TRADING PROFIT</t>
  </si>
  <si>
    <t>BELOW TRADING PROFIT, ABOVE EBIT</t>
  </si>
  <si>
    <t>Share of profit from associates and joint ventures</t>
  </si>
  <si>
    <t>Impairment of associates/JV investments</t>
  </si>
  <si>
    <t>Exceptional items (curtailment, restructuring, etc.)</t>
  </si>
  <si>
    <t>STATUTORY OPERATING PROFIT (EBIT)</t>
  </si>
  <si>
    <t>EBIT margin %</t>
  </si>
  <si>
    <t>NORMALISATION ADJUSTMENTS (purple column — your</t>
  </si>
  <si>
    <t>adjusting items, shown as a bridge)</t>
  </si>
  <si>
    <t>+ Brand and customer relationship amortisation</t>
  </si>
  <si>
    <t>± FX/derivative financial instrument gains/losses</t>
  </si>
  <si>
    <t>− Sale &amp; leaseback gains</t>
  </si>
  <si>
    <t>± Net impairment reversal/charge on PP&amp;E (non-run-rate)</t>
  </si>
  <si>
    <t>± Net impairment reversal/charge on ROU assets (non-run-rate)</t>
  </si>
  <si>
    <t>− Government support income (e.g. JRS — historical only)</t>
  </si>
  <si>
    <t>− Lease modification/early exit gains</t>
  </si>
  <si>
    <t>+ Associate impairment spike (above run-rate)</t>
  </si>
  <si>
    <t>+ Software impairment spike (above run-rate)</t>
  </si>
  <si>
    <t>± Intangible disposal loss/gain (above run-rate)</t>
  </si>
  <si>
    <t>+ One-off implementation/integration costs (M&amp;A)</t>
  </si>
  <si>
    <t>NORMALISED EBIT</t>
  </si>
  <si>
    <t>Normalised EBIT margin %</t>
  </si>
  <si>
    <t>EBITDA BRIDGE (shown as a separate block or schedule)</t>
  </si>
  <si>
    <t>Normalised EBIT</t>
  </si>
  <si>
    <t>+ ROU depreciation (IFRS 16)</t>
  </si>
  <si>
    <t>+ Run-rate NCA impairment (PP&amp;E, kept portion)</t>
  </si>
  <si>
    <t>+ Run-rate NCA impairment (ROU, kept portion)</t>
  </si>
  <si>
    <t>+ Run-rate software impairment (kept portion)</t>
  </si>
  <si>
    <t>POST-IFRS 16 EBITDA</t>
  </si>
  <si>
    <t>Post-IFRS 16 EBITDA margin %</t>
  </si>
  <si>
    <t>− ROU depreciation</t>
  </si>
  <si>
    <t>+ IFRS 16 lease interest (add back)</t>
  </si>
  <si>
    <t>PRE-IFRS 16 EBITDA</t>
  </si>
  <si>
    <t>Pre-IFRS 16 EBITDA margin %</t>
  </si>
  <si>
    <t>FINANCE INCOME / COSTS</t>
  </si>
  <si>
    <t xml:space="preserve">  of which: interest on bank loans/bonds</t>
  </si>
  <si>
    <t xml:space="preserve">  of which: IFRS 16 lease interest</t>
  </si>
  <si>
    <t xml:space="preserve">  of which: discount unwind on provisions (strip if normalising)</t>
  </si>
  <si>
    <t xml:space="preserve">  of which: pension net interest</t>
  </si>
  <si>
    <t>NET FINANCE COST</t>
  </si>
  <si>
    <t>PROFIT BEFORE TAX</t>
  </si>
  <si>
    <t>Statutory profit before tax (PBT)</t>
  </si>
  <si>
    <t>± Exceptional items below EBIT (e.g. Reiss IFRS 3 gain)</t>
  </si>
  <si>
    <t>NORMALISED PBT</t>
  </si>
  <si>
    <t>Normalised PBT margin %</t>
  </si>
  <si>
    <t>TAX</t>
  </si>
  <si>
    <t>Statutory tax charge</t>
  </si>
  <si>
    <t>Effective tax rate (ETR) %</t>
  </si>
  <si>
    <t>Normalised tax (= Normalised PBT × year's own ETR)</t>
  </si>
  <si>
    <t>Normalised ETR %</t>
  </si>
  <si>
    <t>PROFIT AFTER TAX / EARNINGS</t>
  </si>
  <si>
    <t>Statutory profit after tax</t>
  </si>
  <si>
    <t>Less: non-controlling interest (NCI)</t>
  </si>
  <si>
    <t>Statutory net income attributable to shareholders</t>
  </si>
  <si>
    <t>Normalised net income (cleaned NI)</t>
  </si>
  <si>
    <t>Normalised net income margin %</t>
  </si>
  <si>
    <t>PER SHARE METRICS</t>
  </si>
  <si>
    <t>Weighted average shares outstanding (basic)</t>
  </si>
  <si>
    <t>Weighted average shares outstanding (diluted)</t>
  </si>
  <si>
    <t>Statutory basic EPS</t>
  </si>
  <si>
    <t>Statutory diluted EPS</t>
  </si>
  <si>
    <t>Normalised basic EPS</t>
  </si>
  <si>
    <t>Normalised diluted EPS</t>
  </si>
  <si>
    <t>YoY normalised EPS growth %</t>
  </si>
  <si>
    <t>DIVIDEND (often shown at the foot of the IS or in a</t>
  </si>
  <si>
    <t>separate capital returns schedule)</t>
  </si>
  <si>
    <t>Dividend per share (interim + final)</t>
  </si>
  <si>
    <t>Dividend cover (EPS / DPS)</t>
  </si>
  <si>
    <t>Share buyback spend (£m)</t>
  </si>
  <si>
    <t>Total shareholder returns (dividends + buybacks)</t>
  </si>
  <si>
    <t>Normalisation Adjustments</t>
  </si>
  <si>
    <t>Adjusted/Cleaned EBIT</t>
  </si>
  <si>
    <t>Adjustments:</t>
  </si>
  <si>
    <t>Adjusted Profit before tax</t>
  </si>
  <si>
    <t>Implied return</t>
  </si>
  <si>
    <t>Average of share of profit of asssociates and JV</t>
  </si>
  <si>
    <t xml:space="preserve">Average balance of Associates and JV </t>
  </si>
  <si>
    <t xml:space="preserve">Profit share  of associates and JV as a %  investments in associates and JV </t>
  </si>
  <si>
    <t>Opening Balance</t>
  </si>
  <si>
    <t>Ending balance</t>
  </si>
  <si>
    <t>Investments in associates and JV</t>
  </si>
  <si>
    <t>Impairment run-rate</t>
  </si>
  <si>
    <t>using 2years average</t>
  </si>
  <si>
    <t>Finance Costs on Leases</t>
  </si>
  <si>
    <t>PPE &amp; ROU</t>
  </si>
  <si>
    <t>MORE DETAILS</t>
  </si>
  <si>
    <t>Dep &amp; software amort</t>
  </si>
  <si>
    <t>software amort</t>
  </si>
  <si>
    <t>PPE dep</t>
  </si>
  <si>
    <t>rou dep</t>
  </si>
  <si>
    <t>Working capital</t>
  </si>
  <si>
    <t>I/S items</t>
  </si>
  <si>
    <t>B/s items</t>
  </si>
  <si>
    <t>Current Asset</t>
  </si>
  <si>
    <t>Accrued exp</t>
  </si>
  <si>
    <t>Operating</t>
  </si>
  <si>
    <t>Current liabilities</t>
  </si>
  <si>
    <t>Accounts payable</t>
  </si>
  <si>
    <t>Inventory</t>
  </si>
  <si>
    <t>Deferred tax Asset</t>
  </si>
  <si>
    <t>Prepaid Asset</t>
  </si>
  <si>
    <t>Accounts receivable</t>
  </si>
  <si>
    <t>Work in progress</t>
  </si>
  <si>
    <t>Tax payable</t>
  </si>
  <si>
    <t>Check other Operating  for more details</t>
  </si>
  <si>
    <t>Receivables</t>
  </si>
  <si>
    <t>changes</t>
  </si>
  <si>
    <t>cash in transit</t>
  </si>
  <si>
    <t>Check with B/S</t>
  </si>
  <si>
    <t>Net debt excluding lease debt</t>
  </si>
  <si>
    <t>Other Debtors</t>
  </si>
  <si>
    <t>Amounts due from subsidiary undertakings</t>
  </si>
  <si>
    <t>Other receivables</t>
  </si>
  <si>
    <t>Customer receivables ('nextpay' and 'pay in 3')</t>
  </si>
  <si>
    <t>difference between increase/decrease in customer rec &amp;others, b/s &amp; cf</t>
  </si>
  <si>
    <t>rec b/s</t>
  </si>
  <si>
    <t>rec days ratio</t>
  </si>
  <si>
    <t>Forecasting receivables balances</t>
  </si>
  <si>
    <t>growth</t>
  </si>
  <si>
    <t>Credit sales as a % of total revenue</t>
  </si>
  <si>
    <t>growth fall</t>
  </si>
  <si>
    <t>average group interest</t>
  </si>
  <si>
    <t>interest cost</t>
  </si>
  <si>
    <t>average debt excluding cash</t>
  </si>
  <si>
    <t>average online customer balance</t>
  </si>
  <si>
    <t>Debt assumption %</t>
  </si>
  <si>
    <t>ROCE</t>
  </si>
  <si>
    <t>(next finance net profit less cost of funding interest charge)/ average debtor balance</t>
  </si>
  <si>
    <t>actual credit sales used</t>
  </si>
  <si>
    <t>as a % of total product revenue</t>
  </si>
  <si>
    <t>Average balance</t>
  </si>
  <si>
    <t>Customer Receivables and other receivables</t>
  </si>
  <si>
    <t>monthly</t>
  </si>
  <si>
    <t>yearly</t>
  </si>
  <si>
    <t>as a % of product revenue</t>
  </si>
  <si>
    <t>Credit Sales as a % of Product Revenue</t>
  </si>
  <si>
    <t>Total platform revenue</t>
  </si>
  <si>
    <t xml:space="preserve">commission </t>
  </si>
  <si>
    <t>service income</t>
  </si>
  <si>
    <t>Next sales</t>
  </si>
  <si>
    <t>revenue from acquired brands</t>
  </si>
  <si>
    <t>interest from commercial loans to TP</t>
  </si>
  <si>
    <t>sales GTV</t>
  </si>
  <si>
    <t>preference share interests</t>
  </si>
  <si>
    <t xml:space="preserve">Equity shares </t>
  </si>
  <si>
    <t>other business</t>
  </si>
  <si>
    <t>interest</t>
  </si>
  <si>
    <t>as a % of Total  sales</t>
  </si>
  <si>
    <t>other receivables apart from customer receivables as a % of revenue</t>
  </si>
  <si>
    <t>Days Ratio</t>
  </si>
  <si>
    <t>other receivables days using total revenue</t>
  </si>
  <si>
    <t>Right to return</t>
  </si>
  <si>
    <t>as a % of inventory</t>
  </si>
  <si>
    <t>Right to return as a % of inventory</t>
  </si>
  <si>
    <t>Current Operating Assets and Liabilities</t>
  </si>
  <si>
    <t>BALANCE SHEET ASSUMPTIONS</t>
  </si>
  <si>
    <t>Operating Working Capital</t>
  </si>
  <si>
    <t>Changes in OWC</t>
  </si>
  <si>
    <t>customer Receivables</t>
  </si>
  <si>
    <t>Customer and other Receivables</t>
  </si>
  <si>
    <t>Trade payables and other Trade liabilities</t>
  </si>
  <si>
    <t xml:space="preserve">Trade payables </t>
  </si>
  <si>
    <t>Current</t>
  </si>
  <si>
    <t>Amounts owed to associates and JV</t>
  </si>
  <si>
    <t>Refund liabilities</t>
  </si>
  <si>
    <t>Other taxation and social security</t>
  </si>
  <si>
    <t>Deferred revenue from the sale of gift cards</t>
  </si>
  <si>
    <t xml:space="preserve">Share based payment liability </t>
  </si>
  <si>
    <t>Accruals</t>
  </si>
  <si>
    <t>Other creditors</t>
  </si>
  <si>
    <t>other creditors and accruals</t>
  </si>
  <si>
    <t>days</t>
  </si>
  <si>
    <t>% of inventory</t>
  </si>
  <si>
    <t>% of revenue</t>
  </si>
  <si>
    <t>staff related accruals</t>
  </si>
  <si>
    <t>warehouse and duty related accruals</t>
  </si>
  <si>
    <t>property accruals</t>
  </si>
  <si>
    <t>marketing accruals</t>
  </si>
  <si>
    <t>unpaid interest on corrporate bonds within accruals</t>
  </si>
  <si>
    <t>Creditors due within one year</t>
  </si>
  <si>
    <t>% of cost of sales</t>
  </si>
  <si>
    <t>Total costs excluding Share-based payment</t>
  </si>
  <si>
    <t>bonds</t>
  </si>
  <si>
    <t>current</t>
  </si>
  <si>
    <t>non current</t>
  </si>
  <si>
    <t>4.375% REPAYABLE 2026</t>
  </si>
  <si>
    <t>Nominal value</t>
  </si>
  <si>
    <t>3.625% REPAYABLE 2028</t>
  </si>
  <si>
    <t>5% REPAYABLE 2031</t>
  </si>
  <si>
    <t>Ratio</t>
  </si>
  <si>
    <t>corporate bond as a % of total ratio at year end to be multiplied by base year</t>
  </si>
  <si>
    <t>Residual</t>
  </si>
  <si>
    <t>Held flat</t>
  </si>
  <si>
    <t>Customer Receivables and other Trade receiivables</t>
  </si>
  <si>
    <t>Trade Payable and other liabilities</t>
  </si>
  <si>
    <t>Residual balance of accruals and other creditors</t>
  </si>
  <si>
    <t>unpaid interest on corporate bonds within accruals</t>
  </si>
  <si>
    <t>Days</t>
  </si>
  <si>
    <t>%</t>
  </si>
  <si>
    <t>$MM</t>
  </si>
  <si>
    <t>held flat</t>
  </si>
  <si>
    <t>% of total revenue</t>
  </si>
  <si>
    <t>Inventory days</t>
  </si>
  <si>
    <t>days using cost of sales</t>
  </si>
  <si>
    <t>Trade and other payables</t>
  </si>
  <si>
    <t>Total operating Current Asset</t>
  </si>
  <si>
    <t>% of Total wages and salaries</t>
  </si>
  <si>
    <t>Total wages and Salaries</t>
  </si>
  <si>
    <t>as a % of revenue</t>
  </si>
  <si>
    <t>Total wages and Salaries a s a % of revenue</t>
  </si>
  <si>
    <t>Total wages and salaries as a% of total revenue</t>
  </si>
  <si>
    <t>Non current Liabilities</t>
  </si>
  <si>
    <t>Accounting EBT</t>
  </si>
  <si>
    <t>Government EBT</t>
  </si>
  <si>
    <t>Accounting Tax</t>
  </si>
  <si>
    <t>Income Tax</t>
  </si>
  <si>
    <t>current tax on profits for the period</t>
  </si>
  <si>
    <t>adjustments in respect of prior years</t>
  </si>
  <si>
    <t>Total currrent tax</t>
  </si>
  <si>
    <t>Deferred tax</t>
  </si>
  <si>
    <t>origination and reversal of temporary differences</t>
  </si>
  <si>
    <t>adjustment in respect of prior years</t>
  </si>
  <si>
    <t>Total deferred tax</t>
  </si>
  <si>
    <t>Total current and Deferred tax</t>
  </si>
  <si>
    <t>B/S Items</t>
  </si>
  <si>
    <t>Non current asset</t>
  </si>
  <si>
    <t>Non current Assets</t>
  </si>
  <si>
    <t>i/s item</t>
  </si>
  <si>
    <t>as a % of total tax expense</t>
  </si>
  <si>
    <t>current taxes % of total tax expense</t>
  </si>
  <si>
    <t>Deferred Taxes % of Total tax expense</t>
  </si>
  <si>
    <t>INCOME- STATEMENT</t>
  </si>
  <si>
    <t>cash tax paid</t>
  </si>
  <si>
    <t>closing balance</t>
  </si>
  <si>
    <t>Current Asset &amp; liability</t>
  </si>
  <si>
    <t>Non current Asset &amp; Liability</t>
  </si>
  <si>
    <t>Tax paid</t>
  </si>
  <si>
    <t>Working capital/other</t>
  </si>
  <si>
    <t>Opening current tax liability</t>
  </si>
  <si>
    <t>current tax charge</t>
  </si>
  <si>
    <t>current tax credit recognised in equity</t>
  </si>
  <si>
    <t>cash tax paid growth</t>
  </si>
  <si>
    <t>cash tax paid as a % of current tax charge</t>
  </si>
  <si>
    <t>current tax/tax paid</t>
  </si>
  <si>
    <t>ETR</t>
  </si>
  <si>
    <t>deferred tax</t>
  </si>
  <si>
    <t>accounting EBT</t>
  </si>
  <si>
    <t>Capital expenditure per Chief Executive’s Review</t>
  </si>
  <si>
    <t>Plus property stock acquired</t>
  </si>
  <si>
    <t>PPE, intangible, dep, amort</t>
  </si>
  <si>
    <t>Plus acquired intangibles Russell &amp; Bromley and Seraphine</t>
  </si>
  <si>
    <t>Less capital accruals</t>
  </si>
  <si>
    <t>Capital expenditure per statutory reporting</t>
  </si>
  <si>
    <t>Includes property, plant and equipment and intangible assets</t>
  </si>
  <si>
    <t>add waltham land purchase</t>
  </si>
  <si>
    <t>Capex as a % of revenue</t>
  </si>
  <si>
    <t>Depreciation as a % of Total prior year PPE</t>
  </si>
  <si>
    <t>D&amp;A on CFS as a % of total PPE &amp; Intangible on B/S</t>
  </si>
  <si>
    <t>Dep as a % of prior year PPE</t>
  </si>
  <si>
    <t>Dep as a % of prior year ROU</t>
  </si>
  <si>
    <t>Amortisation of intangible assets excluding software</t>
  </si>
  <si>
    <t>Amortisation, impairment and loss on disposal of software</t>
  </si>
  <si>
    <t>Depreciation, impairment and (profit)/loss on disposal of property, plant and equipment incld gain on sale of asset</t>
  </si>
  <si>
    <t>Amort as a % of prior year Intangible</t>
  </si>
  <si>
    <t>amortisation including software</t>
  </si>
  <si>
    <t>amortisation as a % of intangibles excld software</t>
  </si>
  <si>
    <t>amortisation as a % of  software</t>
  </si>
  <si>
    <t>Amortisation of software</t>
  </si>
  <si>
    <t>as a % of PPE</t>
  </si>
  <si>
    <t>As a % of intangible</t>
  </si>
  <si>
    <t>Intangible incld software</t>
  </si>
  <si>
    <t>Total Capex incld software</t>
  </si>
  <si>
    <t>CAPEX</t>
  </si>
  <si>
    <t>Lease Additions/renewals</t>
  </si>
  <si>
    <t>Additions to Retail stores</t>
  </si>
  <si>
    <t>ROU additions as a % of revenue</t>
  </si>
  <si>
    <t>Amortisation as a % of intangibles incld Software</t>
  </si>
  <si>
    <t>total intangible</t>
  </si>
  <si>
    <t>% of intangible excld software</t>
  </si>
  <si>
    <t>% of software</t>
  </si>
  <si>
    <t>Intangible excld software</t>
  </si>
  <si>
    <t>Equity Schedule</t>
  </si>
  <si>
    <t>Common Shares</t>
  </si>
  <si>
    <t>Retained Earnings</t>
  </si>
  <si>
    <t>Net income to common</t>
  </si>
  <si>
    <t>Dividend paid</t>
  </si>
  <si>
    <t>Beginning balance</t>
  </si>
  <si>
    <t>Shares</t>
  </si>
  <si>
    <t>issuance</t>
  </si>
  <si>
    <t>buyback/purchased for cancellation in the year</t>
  </si>
  <si>
    <t>Forecast number of shares to be repurchased for cancellation</t>
  </si>
  <si>
    <t>forecast buyback spend</t>
  </si>
  <si>
    <t>forecast average share price</t>
  </si>
  <si>
    <t>class B</t>
  </si>
  <si>
    <t>Nominal value of ordinary shares</t>
  </si>
  <si>
    <t xml:space="preserve">10p each </t>
  </si>
  <si>
    <t>Allocated,called up and fully paid</t>
  </si>
  <si>
    <t>total buyback</t>
  </si>
  <si>
    <t xml:space="preserve">ordinary redeemable B shares  </t>
  </si>
  <si>
    <t>360p each</t>
  </si>
  <si>
    <t>Issued in the year</t>
  </si>
  <si>
    <t>Redeemed and cancelled in the year</t>
  </si>
  <si>
    <t>Dividend cover</t>
  </si>
  <si>
    <t>EPS accretion</t>
  </si>
  <si>
    <t>Opening shares</t>
  </si>
  <si>
    <t>Forecast shares repurchased</t>
  </si>
  <si>
    <t>PRACTICAL MODELLING DECISION: for your BASE CASE, assume the FULL £500m goes to buybacks (simplest, and the PRIMARY stated intention). Build a SCENARIO/SENSITIVITY toggle for "if share price exceeds £131, X% diverts to special dividend instead" if you want to show this risk — but it's not required for your base case.</t>
  </si>
  <si>
    <t>check</t>
  </si>
  <si>
    <t>Ordinary dividends declared</t>
  </si>
  <si>
    <t>Ordinary dividends paid</t>
  </si>
  <si>
    <t>net income</t>
  </si>
  <si>
    <t>dividend paid</t>
  </si>
  <si>
    <t>ordinary dividend as a % of forecast post tax profit</t>
  </si>
  <si>
    <t>Shares repurchased</t>
  </si>
  <si>
    <t>Average share price</t>
  </si>
  <si>
    <t>Shares buyback</t>
  </si>
  <si>
    <t>FCF</t>
  </si>
  <si>
    <t>Cost of shares buy back</t>
  </si>
  <si>
    <t>% of cost from FCF</t>
  </si>
  <si>
    <t>Operating CF</t>
  </si>
  <si>
    <t>capex</t>
  </si>
  <si>
    <t>Lease principal repayments</t>
  </si>
  <si>
    <t>0. 1175</t>
  </si>
  <si>
    <t>Buyback as a % of FCF</t>
  </si>
  <si>
    <t>Average Share price</t>
  </si>
  <si>
    <t>109-131</t>
  </si>
  <si>
    <t>range</t>
  </si>
  <si>
    <t>Nominal value of shares(p)</t>
  </si>
  <si>
    <t>Cash for share issuance/(buyback)  for investments</t>
  </si>
  <si>
    <t>opening balance</t>
  </si>
  <si>
    <t>increase/share repurchased @ nominal value</t>
  </si>
  <si>
    <t>ending balance</t>
  </si>
  <si>
    <t>ESOT Reserve</t>
  </si>
  <si>
    <t>Opening ESOT reserve</t>
  </si>
  <si>
    <t>Forecast ESOT share purchases</t>
  </si>
  <si>
    <t>Forecast shares issued by ESOT</t>
  </si>
  <si>
    <t>Closing ESOT reserve</t>
  </si>
  <si>
    <t>Net ESOT cashflow</t>
  </si>
  <si>
    <t>Disposal of Shares by ESOT</t>
  </si>
  <si>
    <t>ESOT reserve in SOCIE</t>
  </si>
  <si>
    <t>Non-controlling interest</t>
  </si>
  <si>
    <t>Share option charge growth</t>
  </si>
  <si>
    <t>Non controlling interest</t>
  </si>
  <si>
    <t>NCI growth rate</t>
  </si>
  <si>
    <t>B/s</t>
  </si>
  <si>
    <t>Opening NCI</t>
  </si>
  <si>
    <t>Forecast profit</t>
  </si>
  <si>
    <t>Dividends to NCI</t>
  </si>
  <si>
    <t>Closing NCI</t>
  </si>
  <si>
    <t>NCI Profit growth rate</t>
  </si>
  <si>
    <t>NCI Profit</t>
  </si>
  <si>
    <t>Dividends paid to NCI</t>
  </si>
  <si>
    <t>Acquisittion of subsidiary effects</t>
  </si>
  <si>
    <t>Non-controlling Interests</t>
  </si>
  <si>
    <t>NCI profit</t>
  </si>
  <si>
    <t>Liabilities</t>
  </si>
  <si>
    <t>INCOME STATEMENT ASSUMPTIONS</t>
  </si>
  <si>
    <t>Sub: repayment of fixed rate term debt</t>
  </si>
  <si>
    <t>Operating Cash flow</t>
  </si>
  <si>
    <t>Non-current</t>
  </si>
  <si>
    <t>Bond repayable year</t>
  </si>
  <si>
    <t>Corporate bond</t>
  </si>
  <si>
    <t>Non current</t>
  </si>
  <si>
    <t>Debt for Interest expense</t>
  </si>
  <si>
    <t>corporate bond</t>
  </si>
  <si>
    <t>Lease Liabilities</t>
  </si>
  <si>
    <t>Cash and Short term deposits</t>
  </si>
  <si>
    <t>Bank Loans and Overdrafts</t>
  </si>
  <si>
    <t>Provisions</t>
  </si>
  <si>
    <t>Provisions made in the year</t>
  </si>
  <si>
    <t>utilisation</t>
  </si>
  <si>
    <t>release</t>
  </si>
  <si>
    <t>unwind of discount</t>
  </si>
  <si>
    <t>opening Balance</t>
  </si>
  <si>
    <t>Arising from acquisitions</t>
  </si>
  <si>
    <t>Discount Unwind implied rate</t>
  </si>
  <si>
    <t xml:space="preserve">Provision </t>
  </si>
  <si>
    <t>Finance costs on lease liability</t>
  </si>
  <si>
    <t>SONIA + 1.7%</t>
  </si>
  <si>
    <t>SONIA</t>
  </si>
  <si>
    <t>Fixed portion</t>
  </si>
  <si>
    <t>Fixed</t>
  </si>
  <si>
    <t>Corporate Bonds</t>
  </si>
  <si>
    <t>https://www.bankofengland.co.uk/boeapps/database/fromshowcolumns.asp?Travel=NIxSUx&amp;FromSeries=1&amp;ToSeries=50&amp;DAT=RNG&amp;FD=1&amp;FM=Jan&amp;FY=2014&amp;TD=6&amp;TM=Dec&amp;TY=2040&amp;FNY=&amp;CSVF=TT&amp;html.x=180&amp;html.y=34&amp;C=5JK&amp;Filter=N</t>
  </si>
  <si>
    <t>Daily rate</t>
  </si>
  <si>
    <t>Bank of England</t>
  </si>
  <si>
    <t>Months in a year</t>
  </si>
  <si>
    <t>Corporate Bond</t>
  </si>
  <si>
    <t>interest rate on variable rate longterm debt maturing in 2026</t>
  </si>
  <si>
    <t>Interest Rate on fixed rate term debt maturing in 2028</t>
  </si>
  <si>
    <t>Interest Rate on fixed rate term debt maturing in 2031</t>
  </si>
  <si>
    <t>2031 Bonds- Fixed-repaid in 17/07/2031</t>
  </si>
  <si>
    <t>2026 Bonds-Floating-repaid 02/10/ 2026</t>
  </si>
  <si>
    <t>Corporate bonds 3.625% repayable May 2028</t>
  </si>
  <si>
    <t>Corporate bonds 4.375% repayable October 2026</t>
  </si>
  <si>
    <t>Corporate bonds 5.0% repayable July 2031</t>
  </si>
  <si>
    <t>2028 Bonds- Fixed-repaid 18/05/2028</t>
  </si>
  <si>
    <t>Actual Day count</t>
  </si>
  <si>
    <t>Payable annually</t>
  </si>
  <si>
    <t xml:space="preserve">Total interest expense </t>
  </si>
  <si>
    <t>Lease Liability</t>
  </si>
  <si>
    <t>Modifications and amendments</t>
  </si>
  <si>
    <t>Payments</t>
  </si>
  <si>
    <t>Interest</t>
  </si>
  <si>
    <t>Foreign exchange movement</t>
  </si>
  <si>
    <t>Arising from Acquisitions</t>
  </si>
  <si>
    <t>Implied rate for Interest</t>
  </si>
  <si>
    <t>Split between lease Liabilities Total</t>
  </si>
  <si>
    <t>Bank Loans and Overdraft</t>
  </si>
  <si>
    <t>Bank Loans</t>
  </si>
  <si>
    <t>Bank Overdrafts and short term borrowings</t>
  </si>
  <si>
    <t>Drawdown on revolving credit facility/Loan notes</t>
  </si>
  <si>
    <t>Bank Loan</t>
  </si>
  <si>
    <t>Annual interest rate above SONIA</t>
  </si>
  <si>
    <t>2.15%-2.90%</t>
  </si>
  <si>
    <t>Bank Overdraft</t>
  </si>
  <si>
    <t>Current Bank Rate</t>
  </si>
  <si>
    <t>Margin assumed to be added</t>
  </si>
  <si>
    <t>Interest Expense on Bank Overdraft</t>
  </si>
  <si>
    <t>Total Bank Overdraft Interest rate</t>
  </si>
  <si>
    <t>Cash and Cash equivalents</t>
  </si>
  <si>
    <t>Short term deposits</t>
  </si>
  <si>
    <t>money market funds</t>
  </si>
  <si>
    <t>Corrected value of cash and cash equivalent</t>
  </si>
  <si>
    <t>bank loans</t>
  </si>
  <si>
    <t>Corrected cash and cash equivalents</t>
  </si>
  <si>
    <t>Nominal value Bonds Ending value</t>
  </si>
  <si>
    <t>minimum cash % revenues</t>
  </si>
  <si>
    <t>Interest rate</t>
  </si>
  <si>
    <t>Revolver Interest rate</t>
  </si>
  <si>
    <t>Cash and other short term deposits interest rate</t>
  </si>
  <si>
    <t>Net debt  and Interest Calculations</t>
  </si>
  <si>
    <t>Dividends</t>
  </si>
  <si>
    <t>Cashflow generated to service debt</t>
  </si>
  <si>
    <t>Beginning cash and cash equivalents</t>
  </si>
  <si>
    <t>Cash available to service debt</t>
  </si>
  <si>
    <t>Total mandatory debt repayments</t>
  </si>
  <si>
    <t>Surplus cash after mandatory debt repayments</t>
  </si>
  <si>
    <t>Less minimum required cash</t>
  </si>
  <si>
    <t>Surplus Cash/ (Short term borrowing requirements)</t>
  </si>
  <si>
    <t>interest expense</t>
  </si>
  <si>
    <t>margin assumed</t>
  </si>
  <si>
    <t>Sub: repayment of Variable rate term debt</t>
  </si>
  <si>
    <t>Beginning of Drawdown on revolving credit facility/Loan notes</t>
  </si>
  <si>
    <t>Ending of Drawdown on revolving credit facility/Loan notes</t>
  </si>
  <si>
    <t>Beginning of Bank Overdrafts and short term borrowings</t>
  </si>
  <si>
    <t xml:space="preserve"> issuance (repayment)</t>
  </si>
  <si>
    <t>Ending of Bank Overdrafts and short term borrowings</t>
  </si>
  <si>
    <t xml:space="preserve">ST deposits as a % of Total cash and other ST deposits </t>
  </si>
  <si>
    <t>Rate on Cash and other short term deposits</t>
  </si>
  <si>
    <t>NCI</t>
  </si>
  <si>
    <t>Investing Cashflow</t>
  </si>
  <si>
    <t xml:space="preserve">Lease </t>
  </si>
  <si>
    <t>Interest paid</t>
  </si>
  <si>
    <t>Total Finance costs excluding discount unwind</t>
  </si>
  <si>
    <t>Total finance costs</t>
  </si>
  <si>
    <t>Total finance income</t>
  </si>
  <si>
    <t>Total Operating current Liabilities</t>
  </si>
  <si>
    <t xml:space="preserve">WORKING CAPITAL </t>
  </si>
  <si>
    <t>Trade payables</t>
  </si>
  <si>
    <t>Common Shares Buyback</t>
  </si>
  <si>
    <t xml:space="preserve">Retained Earnings </t>
  </si>
  <si>
    <t>ESOT Re-adjustment</t>
  </si>
  <si>
    <t>Interest rate on Relvolving credit facility</t>
  </si>
  <si>
    <t>interest rate on Bank Overdraft and ST borrowings</t>
  </si>
  <si>
    <t>Forecast Buyback</t>
  </si>
  <si>
    <t>Opening cash and short term deposit</t>
  </si>
  <si>
    <t>Increase/decrease</t>
  </si>
  <si>
    <t>Ending cash and short term deposits</t>
  </si>
  <si>
    <t>Surplus cash without buyback</t>
  </si>
  <si>
    <t>Dividend payable</t>
  </si>
  <si>
    <t>(Increase)/decrease in provisions</t>
  </si>
  <si>
    <t>Dividend Payable</t>
  </si>
  <si>
    <t>Dividend declared</t>
  </si>
  <si>
    <t>Dividends declared to NCI</t>
  </si>
  <si>
    <t>increase/(decrease)</t>
  </si>
  <si>
    <t>Total common shares and NCI</t>
  </si>
  <si>
    <t>NCI Dividends</t>
  </si>
  <si>
    <t>Share of profit of results of Associates and JV</t>
  </si>
  <si>
    <t>Change in working capital</t>
  </si>
  <si>
    <t>net cash flow</t>
  </si>
  <si>
    <t>Ending cash and cash equivalent</t>
  </si>
  <si>
    <t>Dividend Paid</t>
  </si>
  <si>
    <t>Interest Paid</t>
  </si>
  <si>
    <t>Model Calibration</t>
  </si>
  <si>
    <t>CASH FLOW STATEMENT Assumptions</t>
  </si>
  <si>
    <t>Asset Turnover</t>
  </si>
  <si>
    <t>Financial leverage</t>
  </si>
  <si>
    <t>Dupont Analysis</t>
  </si>
  <si>
    <t>Recurring NI margin</t>
  </si>
  <si>
    <t>Return on Equity</t>
  </si>
  <si>
    <t>Revenue Growth</t>
  </si>
  <si>
    <t>EBITDA Growth</t>
  </si>
  <si>
    <t>Net Income</t>
  </si>
  <si>
    <t>Net Income Growth</t>
  </si>
  <si>
    <t>Net Profit</t>
  </si>
  <si>
    <t>KPI</t>
  </si>
  <si>
    <t>Millions for the Year Ended January 31</t>
  </si>
  <si>
    <t>Online UK International</t>
  </si>
  <si>
    <t xml:space="preserve">Retail </t>
  </si>
  <si>
    <t>Buyback</t>
  </si>
  <si>
    <t>Finance Interest Income</t>
  </si>
  <si>
    <t>Other Business Activities</t>
  </si>
  <si>
    <t>Sales :</t>
  </si>
  <si>
    <t>3 STATEMENT FINANCIAL MODEL</t>
  </si>
  <si>
    <t>Normalisation</t>
  </si>
  <si>
    <t>Adjustments</t>
  </si>
  <si>
    <t>Normalisation Items from the I/S and CFS</t>
  </si>
  <si>
    <t>Other Adjustments included but not shown on the face of the I/s</t>
  </si>
  <si>
    <t>Adjustments shown on the I/S</t>
  </si>
  <si>
    <t>Impairment charge of PPE</t>
  </si>
  <si>
    <t>Impairment of ROU</t>
  </si>
  <si>
    <t>other non -recurring items</t>
  </si>
  <si>
    <t>Adjusted Profit Before tax</t>
  </si>
  <si>
    <t>Depreciation and Amortisation</t>
  </si>
  <si>
    <t>Adjusted Tax</t>
  </si>
  <si>
    <t>Recurring Net Income</t>
  </si>
  <si>
    <t>Adjusted Taxation</t>
  </si>
  <si>
    <t>Tax Adjusted and Cleaned out</t>
  </si>
  <si>
    <t xml:space="preserve">Reported </t>
  </si>
  <si>
    <t>Adjusted</t>
  </si>
  <si>
    <t>UK corporation Tax rate</t>
  </si>
  <si>
    <t>Marginal Tax Rate</t>
  </si>
  <si>
    <t>EBIAT/NOPAT margin</t>
  </si>
  <si>
    <t xml:space="preserve"> EBIT</t>
  </si>
  <si>
    <t xml:space="preserve"> EBITDA</t>
  </si>
  <si>
    <t>Return on Asset</t>
  </si>
  <si>
    <t>EBIT</t>
  </si>
  <si>
    <t>EBIAT</t>
  </si>
  <si>
    <t>EBIAT Growth</t>
  </si>
  <si>
    <t>EBIT Growth</t>
  </si>
  <si>
    <t>SENSITIVITY ANALYSIS</t>
  </si>
  <si>
    <t>One-way Analysis</t>
  </si>
  <si>
    <t>Two-way Analysis</t>
  </si>
  <si>
    <t>Tornado Chart Data  + Chart</t>
  </si>
  <si>
    <t>INPUT</t>
  </si>
  <si>
    <t>OUTPUT</t>
  </si>
  <si>
    <t>Online UK Revenue Growth</t>
  </si>
  <si>
    <t>(Largest portion of Segmental Sales)</t>
  </si>
  <si>
    <t>ACROSS ALL YEARS</t>
  </si>
  <si>
    <t>Whole Business</t>
  </si>
  <si>
    <t>2027 ONLY using the Whole Revenue</t>
  </si>
  <si>
    <t>Driver</t>
  </si>
  <si>
    <t>Cost of Sales as a % of revenue</t>
  </si>
  <si>
    <t>NOPAT</t>
  </si>
  <si>
    <t>High Case</t>
  </si>
  <si>
    <t>Low case</t>
  </si>
  <si>
    <t>EBIT margin cal using Cost of sales</t>
  </si>
  <si>
    <t>Gross Margin</t>
  </si>
  <si>
    <t>Opex Margin</t>
  </si>
  <si>
    <t>Model Cases</t>
  </si>
  <si>
    <t>Sorting</t>
  </si>
  <si>
    <t>Chart Input Table</t>
  </si>
  <si>
    <t>Downside</t>
  </si>
  <si>
    <t>Upside</t>
  </si>
  <si>
    <t>Tornado Chart</t>
  </si>
  <si>
    <t>Error/warning/ important detail</t>
  </si>
  <si>
    <t xml:space="preserve">TORNADO CHART, ONE WAY &amp; 2 WAY </t>
  </si>
  <si>
    <t>Reported 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</si>
</sst>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&quot;years&quot;"/>
    <numFmt numFmtId="165" formatCode="0&quot;A&quot;"/>
    <numFmt numFmtId="166" formatCode="0&quot;E&quot;"/>
    <numFmt numFmtId="167" formatCode="[=1]&quot;ON&quot;;[&lt;&gt;1]\ &quot;OFF&quot;"/>
    <numFmt numFmtId="168" formatCode="0.0"/>
    <numFmt numFmtId="169" formatCode="0.0%"/>
    <numFmt numFmtId="170" formatCode="0.00\x"/>
    <numFmt numFmtId="171" formatCode="0E+00"/>
    <numFmt numFmtId="172" formatCode="0.000"/>
    <numFmt numFmtId="173" formatCode="0.000\x"/>
  </numFmts>
  <fonts count="5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20"/>
      <color rgb="FFFFC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32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sz val="11"/>
      <color rgb="FF0E2841"/>
      <name val="Aptos Narrow"/>
      <family val="2"/>
      <scheme val="minor"/>
    </font>
    <font>
      <b/>
      <sz val="11"/>
      <color theme="1"/>
      <name val="Aptos"/>
      <family val="2"/>
    </font>
    <font>
      <b/>
      <sz val="2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40"/>
      <color theme="7"/>
      <name val="Aptos Narrow"/>
      <family val="2"/>
      <scheme val="minor"/>
    </font>
    <font>
      <b/>
      <sz val="32"/>
      <color theme="7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8"/>
      <color theme="7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7"/>
      <name val="Aptos"/>
      <family val="2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7"/>
      <name val="Aptos"/>
      <family val="2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22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  <font>
      <b/>
      <u/>
      <sz val="2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badi ExtraLight"/>
      <family val="2"/>
    </font>
    <font>
      <b/>
      <i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theme="7"/>
      <name val="Aptos Narrow"/>
      <family val="2"/>
      <scheme val="minor"/>
    </font>
    <font>
      <b/>
      <sz val="44"/>
      <color theme="7"/>
      <name val="Aptos Narrow"/>
      <family val="2"/>
      <scheme val="minor"/>
    </font>
    <font>
      <b/>
      <sz val="26"/>
      <color rgb="FFFFC000"/>
      <name val="Aptos Narrow"/>
      <family val="2"/>
      <scheme val="minor"/>
    </font>
    <font>
      <b/>
      <sz val="28"/>
      <color rgb="FFFFC000"/>
      <name val="Aptos Narrow"/>
      <family val="2"/>
      <scheme val="minor"/>
    </font>
    <font>
      <b/>
      <sz val="16"/>
      <color theme="7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1">
    <xf numFmtId="0" fontId="0" fillId="0" borderId="0"/>
    <xf numFmtId="0" fontId="10" fillId="0" borderId="0"/>
    <xf numFmtId="0" fontId="12" fillId="0" borderId="0"/>
    <xf numFmtId="9" fontId="1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5" fillId="13" borderId="1"/>
    <xf numFmtId="0" fontId="32" fillId="0" borderId="7"/>
    <xf numFmtId="0" fontId="32" fillId="14" borderId="0"/>
    <xf numFmtId="43" fontId="32" fillId="0" borderId="0" applyFont="0" applyFill="0" applyBorder="0" applyAlignment="0" applyProtection="0"/>
    <xf numFmtId="0" fontId="4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0" xfId="0" applyFont="1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1" fillId="0" borderId="0" xfId="1" applyFont="1"/>
    <xf numFmtId="14" fontId="0" fillId="0" borderId="0" xfId="0" applyNumberFormat="1"/>
    <xf numFmtId="15" fontId="0" fillId="0" borderId="0" xfId="0" applyNumberFormat="1"/>
    <xf numFmtId="10" fontId="6" fillId="0" borderId="1" xfId="3" applyNumberFormat="1" applyFont="1" applyBorder="1" applyAlignment="1">
      <alignment horizontal="center"/>
    </xf>
    <xf numFmtId="10" fontId="0" fillId="0" borderId="0" xfId="0" applyNumberFormat="1"/>
    <xf numFmtId="9" fontId="0" fillId="0" borderId="0" xfId="0" applyNumberFormat="1"/>
    <xf numFmtId="0" fontId="14" fillId="0" borderId="0" xfId="0" applyFont="1" applyAlignment="1">
      <alignment vertical="center"/>
    </xf>
    <xf numFmtId="0" fontId="14" fillId="0" borderId="0" xfId="0" applyFont="1"/>
    <xf numFmtId="0" fontId="9" fillId="2" borderId="0" xfId="0" applyFont="1" applyFill="1"/>
    <xf numFmtId="166" fontId="9" fillId="2" borderId="0" xfId="0" applyNumberFormat="1" applyFont="1" applyFill="1"/>
    <xf numFmtId="0" fontId="0" fillId="5" borderId="0" xfId="0" applyFill="1"/>
    <xf numFmtId="0" fontId="3" fillId="5" borderId="0" xfId="0" applyFont="1" applyFill="1"/>
    <xf numFmtId="0" fontId="9" fillId="5" borderId="0" xfId="0" applyFont="1" applyFill="1"/>
    <xf numFmtId="165" fontId="9" fillId="5" borderId="0" xfId="0" applyNumberFormat="1" applyFont="1" applyFill="1"/>
    <xf numFmtId="166" fontId="9" fillId="5" borderId="0" xfId="0" applyNumberFormat="1" applyFont="1" applyFill="1"/>
    <xf numFmtId="0" fontId="0" fillId="2" borderId="0" xfId="0" applyFill="1"/>
    <xf numFmtId="0" fontId="4" fillId="2" borderId="0" xfId="0" applyFont="1" applyFill="1"/>
    <xf numFmtId="0" fontId="8" fillId="2" borderId="0" xfId="0" applyFont="1" applyFill="1"/>
    <xf numFmtId="0" fontId="7" fillId="2" borderId="0" xfId="0" applyFont="1" applyFill="1"/>
    <xf numFmtId="14" fontId="9" fillId="2" borderId="0" xfId="0" applyNumberFormat="1" applyFont="1" applyFill="1"/>
    <xf numFmtId="167" fontId="15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165" fontId="18" fillId="5" borderId="0" xfId="0" applyNumberFormat="1" applyFont="1" applyFill="1"/>
    <xf numFmtId="166" fontId="18" fillId="5" borderId="0" xfId="0" applyNumberFormat="1" applyFont="1" applyFill="1"/>
    <xf numFmtId="0" fontId="8" fillId="5" borderId="0" xfId="0" applyFont="1" applyFill="1"/>
    <xf numFmtId="0" fontId="19" fillId="2" borderId="0" xfId="0" applyFont="1" applyFill="1"/>
    <xf numFmtId="0" fontId="0" fillId="0" borderId="3" xfId="0" applyBorder="1"/>
    <xf numFmtId="164" fontId="5" fillId="0" borderId="0" xfId="0" applyNumberFormat="1" applyFont="1"/>
    <xf numFmtId="10" fontId="5" fillId="0" borderId="0" xfId="0" applyNumberFormat="1" applyFont="1"/>
    <xf numFmtId="9" fontId="5" fillId="0" borderId="0" xfId="0" applyNumberFormat="1" applyFont="1"/>
    <xf numFmtId="2" fontId="20" fillId="0" borderId="0" xfId="2" applyNumberFormat="1" applyFont="1" applyAlignment="1">
      <alignment horizontal="center"/>
    </xf>
    <xf numFmtId="0" fontId="22" fillId="5" borderId="0" xfId="0" applyFont="1" applyFill="1"/>
    <xf numFmtId="0" fontId="13" fillId="0" borderId="0" xfId="0" applyFont="1"/>
    <xf numFmtId="3" fontId="0" fillId="0" borderId="0" xfId="0" applyNumberFormat="1"/>
    <xf numFmtId="0" fontId="23" fillId="0" borderId="0" xfId="0" applyFont="1" applyAlignment="1">
      <alignment vertical="center"/>
    </xf>
    <xf numFmtId="0" fontId="24" fillId="0" borderId="0" xfId="0" applyFont="1"/>
    <xf numFmtId="0" fontId="25" fillId="0" borderId="0" xfId="0" applyFont="1"/>
    <xf numFmtId="0" fontId="26" fillId="2" borderId="0" xfId="0" applyFont="1" applyFill="1"/>
    <xf numFmtId="0" fontId="28" fillId="2" borderId="0" xfId="0" applyFont="1" applyFill="1" applyAlignment="1">
      <alignment horizontal="center"/>
    </xf>
    <xf numFmtId="0" fontId="2" fillId="0" borderId="5" xfId="0" applyFont="1" applyBorder="1"/>
    <xf numFmtId="0" fontId="2" fillId="0" borderId="3" xfId="0" applyFont="1" applyBorder="1"/>
    <xf numFmtId="0" fontId="0" fillId="0" borderId="5" xfId="0" applyBorder="1"/>
    <xf numFmtId="0" fontId="29" fillId="0" borderId="0" xfId="0" applyFont="1"/>
    <xf numFmtId="0" fontId="30" fillId="0" borderId="0" xfId="0" applyFont="1"/>
    <xf numFmtId="3" fontId="2" fillId="0" borderId="0" xfId="0" applyNumberFormat="1" applyFont="1"/>
    <xf numFmtId="0" fontId="0" fillId="0" borderId="6" xfId="0" applyBorder="1"/>
    <xf numFmtId="0" fontId="2" fillId="0" borderId="6" xfId="0" applyFont="1" applyBorder="1"/>
    <xf numFmtId="0" fontId="31" fillId="0" borderId="0" xfId="0" applyFont="1"/>
    <xf numFmtId="0" fontId="2" fillId="0" borderId="0" xfId="0" applyFont="1" applyAlignment="1">
      <alignment horizontal="center"/>
    </xf>
    <xf numFmtId="168" fontId="2" fillId="0" borderId="0" xfId="0" applyNumberFormat="1" applyFont="1"/>
    <xf numFmtId="168" fontId="2" fillId="0" borderId="3" xfId="0" applyNumberFormat="1" applyFont="1" applyBorder="1"/>
    <xf numFmtId="0" fontId="33" fillId="0" borderId="0" xfId="0" applyFont="1" applyAlignment="1">
      <alignment vertical="center"/>
    </xf>
    <xf numFmtId="0" fontId="1" fillId="6" borderId="0" xfId="0" applyFont="1" applyFill="1"/>
    <xf numFmtId="169" fontId="0" fillId="0" borderId="0" xfId="4" applyNumberFormat="1" applyFont="1"/>
    <xf numFmtId="169" fontId="2" fillId="0" borderId="0" xfId="4" applyNumberFormat="1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12" fillId="0" borderId="0" xfId="0" applyFont="1"/>
    <xf numFmtId="0" fontId="39" fillId="0" borderId="0" xfId="0" applyFont="1" applyAlignment="1">
      <alignment vertical="center"/>
    </xf>
    <xf numFmtId="0" fontId="23" fillId="0" borderId="3" xfId="0" applyFont="1" applyBorder="1" applyAlignment="1">
      <alignment vertical="center"/>
    </xf>
    <xf numFmtId="10" fontId="2" fillId="0" borderId="0" xfId="4" applyNumberFormat="1" applyFont="1"/>
    <xf numFmtId="10" fontId="0" fillId="0" borderId="0" xfId="4" applyNumberFormat="1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0" borderId="0" xfId="4" applyNumberFormat="1" applyFont="1"/>
    <xf numFmtId="169" fontId="32" fillId="0" borderId="0" xfId="4" applyNumberFormat="1" applyFont="1"/>
    <xf numFmtId="170" fontId="0" fillId="0" borderId="0" xfId="0" applyNumberFormat="1"/>
    <xf numFmtId="0" fontId="5" fillId="13" borderId="1" xfId="6"/>
    <xf numFmtId="0" fontId="32" fillId="0" borderId="7" xfId="7"/>
    <xf numFmtId="0" fontId="32" fillId="14" borderId="0" xfId="8"/>
    <xf numFmtId="0" fontId="1" fillId="0" borderId="0" xfId="5"/>
    <xf numFmtId="0" fontId="32" fillId="0" borderId="0" xfId="5" applyFont="1"/>
    <xf numFmtId="164" fontId="5" fillId="12" borderId="1" xfId="0" applyNumberFormat="1" applyFont="1" applyFill="1" applyBorder="1"/>
    <xf numFmtId="0" fontId="40" fillId="0" borderId="0" xfId="0" applyFont="1"/>
    <xf numFmtId="9" fontId="0" fillId="0" borderId="0" xfId="4" applyFont="1"/>
    <xf numFmtId="0" fontId="32" fillId="0" borderId="0" xfId="4" applyNumberFormat="1" applyFont="1"/>
    <xf numFmtId="169" fontId="0" fillId="0" borderId="0" xfId="0" applyNumberFormat="1"/>
    <xf numFmtId="0" fontId="35" fillId="15" borderId="0" xfId="0" applyFont="1" applyFill="1"/>
    <xf numFmtId="0" fontId="41" fillId="0" borderId="0" xfId="0" applyFont="1"/>
    <xf numFmtId="9" fontId="5" fillId="13" borderId="1" xfId="4" applyFont="1" applyFill="1" applyBorder="1"/>
    <xf numFmtId="1" fontId="5" fillId="13" borderId="1" xfId="6" applyNumberFormat="1"/>
    <xf numFmtId="0" fontId="0" fillId="0" borderId="0" xfId="4" applyNumberFormat="1" applyFont="1"/>
    <xf numFmtId="0" fontId="0" fillId="0" borderId="0" xfId="0" applyAlignment="1">
      <alignment horizontal="center"/>
    </xf>
    <xf numFmtId="169" fontId="5" fillId="13" borderId="1" xfId="4" applyNumberFormat="1" applyFont="1" applyFill="1" applyBorder="1"/>
    <xf numFmtId="0" fontId="2" fillId="0" borderId="3" xfId="0" applyFont="1" applyBorder="1" applyAlignment="1">
      <alignment horizontal="center"/>
    </xf>
    <xf numFmtId="2" fontId="0" fillId="0" borderId="0" xfId="0" applyNumberFormat="1"/>
    <xf numFmtId="168" fontId="0" fillId="0" borderId="0" xfId="0" applyNumberFormat="1"/>
    <xf numFmtId="9" fontId="5" fillId="13" borderId="1" xfId="6" applyNumberFormat="1"/>
    <xf numFmtId="0" fontId="42" fillId="0" borderId="0" xfId="0" applyFont="1" applyAlignment="1">
      <alignment horizontal="center"/>
    </xf>
    <xf numFmtId="169" fontId="2" fillId="0" borderId="0" xfId="4" applyNumberFormat="1" applyFont="1" applyBorder="1"/>
    <xf numFmtId="169" fontId="32" fillId="0" borderId="7" xfId="4" applyNumberFormat="1" applyBorder="1"/>
    <xf numFmtId="9" fontId="32" fillId="0" borderId="7" xfId="4" applyBorder="1"/>
    <xf numFmtId="10" fontId="5" fillId="13" borderId="1" xfId="6" applyNumberFormat="1"/>
    <xf numFmtId="168" fontId="5" fillId="13" borderId="1" xfId="6" applyNumberFormat="1"/>
    <xf numFmtId="0" fontId="44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69" fontId="2" fillId="0" borderId="0" xfId="4" applyNumberFormat="1" applyFont="1" applyAlignment="1">
      <alignment horizontal="center"/>
    </xf>
    <xf numFmtId="2" fontId="2" fillId="0" borderId="3" xfId="0" applyNumberFormat="1" applyFont="1" applyBorder="1"/>
    <xf numFmtId="0" fontId="5" fillId="13" borderId="8" xfId="6" applyBorder="1"/>
    <xf numFmtId="10" fontId="2" fillId="0" borderId="0" xfId="0" applyNumberFormat="1" applyFont="1"/>
    <xf numFmtId="10" fontId="43" fillId="0" borderId="0" xfId="10" applyNumberFormat="1"/>
    <xf numFmtId="169" fontId="2" fillId="0" borderId="0" xfId="0" applyNumberFormat="1" applyFont="1"/>
    <xf numFmtId="0" fontId="43" fillId="0" borderId="0" xfId="10"/>
    <xf numFmtId="169" fontId="2" fillId="0" borderId="7" xfId="4" applyNumberFormat="1" applyFont="1" applyBorder="1"/>
    <xf numFmtId="15" fontId="19" fillId="5" borderId="0" xfId="0" applyNumberFormat="1" applyFont="1" applyFill="1"/>
    <xf numFmtId="169" fontId="32" fillId="0" borderId="0" xfId="4" applyNumberFormat="1" applyBorder="1"/>
    <xf numFmtId="171" fontId="0" fillId="0" borderId="0" xfId="0" applyNumberFormat="1"/>
    <xf numFmtId="2" fontId="2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72" fontId="32" fillId="0" borderId="7" xfId="7" applyNumberFormat="1"/>
    <xf numFmtId="2" fontId="32" fillId="0" borderId="7" xfId="7" applyNumberFormat="1"/>
    <xf numFmtId="2" fontId="2" fillId="0" borderId="0" xfId="0" applyNumberFormat="1" applyFont="1"/>
    <xf numFmtId="0" fontId="0" fillId="0" borderId="9" xfId="0" applyBorder="1"/>
    <xf numFmtId="2" fontId="2" fillId="0" borderId="5" xfId="0" applyNumberFormat="1" applyFont="1" applyBorder="1"/>
    <xf numFmtId="168" fontId="2" fillId="0" borderId="5" xfId="0" applyNumberFormat="1" applyFont="1" applyBorder="1"/>
    <xf numFmtId="2" fontId="2" fillId="0" borderId="5" xfId="0" applyNumberFormat="1" applyFont="1" applyBorder="1" applyAlignment="1">
      <alignment horizontal="center"/>
    </xf>
    <xf numFmtId="168" fontId="44" fillId="0" borderId="0" xfId="0" applyNumberFormat="1" applyFont="1" applyAlignment="1">
      <alignment horizontal="center"/>
    </xf>
    <xf numFmtId="0" fontId="32" fillId="0" borderId="10" xfId="7" applyBorder="1"/>
    <xf numFmtId="0" fontId="1" fillId="4" borderId="0" xfId="0" applyFont="1" applyFill="1"/>
    <xf numFmtId="43" fontId="0" fillId="0" borderId="0" xfId="0" applyNumberFormat="1"/>
    <xf numFmtId="0" fontId="0" fillId="0" borderId="11" xfId="0" applyBorder="1"/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/>
    <xf numFmtId="2" fontId="32" fillId="0" borderId="13" xfId="7" applyNumberFormat="1" applyBorder="1"/>
    <xf numFmtId="2" fontId="0" fillId="0" borderId="5" xfId="0" applyNumberFormat="1" applyBorder="1"/>
    <xf numFmtId="169" fontId="32" fillId="0" borderId="10" xfId="4" applyNumberFormat="1" applyBorder="1"/>
    <xf numFmtId="0" fontId="32" fillId="0" borderId="13" xfId="7" applyBorder="1"/>
    <xf numFmtId="169" fontId="32" fillId="0" borderId="13" xfId="4" applyNumberFormat="1" applyBorder="1"/>
    <xf numFmtId="43" fontId="32" fillId="0" borderId="10" xfId="9" applyBorder="1"/>
    <xf numFmtId="0" fontId="0" fillId="0" borderId="5" xfId="0" applyBorder="1" applyAlignment="1">
      <alignment horizontal="center"/>
    </xf>
    <xf numFmtId="0" fontId="42" fillId="0" borderId="0" xfId="0" applyFont="1"/>
    <xf numFmtId="0" fontId="31" fillId="0" borderId="0" xfId="0" applyFont="1" applyAlignment="1">
      <alignment horizontal="center"/>
    </xf>
    <xf numFmtId="0" fontId="2" fillId="0" borderId="11" xfId="0" applyFont="1" applyBorder="1"/>
    <xf numFmtId="0" fontId="31" fillId="0" borderId="11" xfId="0" applyFont="1" applyBorder="1"/>
    <xf numFmtId="10" fontId="0" fillId="0" borderId="11" xfId="0" applyNumberFormat="1" applyBorder="1"/>
    <xf numFmtId="0" fontId="34" fillId="0" borderId="11" xfId="0" applyFont="1" applyBorder="1"/>
    <xf numFmtId="0" fontId="0" fillId="0" borderId="15" xfId="0" applyBorder="1"/>
    <xf numFmtId="0" fontId="2" fillId="0" borderId="16" xfId="0" applyFont="1" applyBorder="1"/>
    <xf numFmtId="0" fontId="0" fillId="0" borderId="18" xfId="0" applyBorder="1"/>
    <xf numFmtId="0" fontId="0" fillId="0" borderId="16" xfId="0" applyBorder="1"/>
    <xf numFmtId="0" fontId="0" fillId="0" borderId="14" xfId="0" applyBorder="1"/>
    <xf numFmtId="0" fontId="0" fillId="0" borderId="17" xfId="0" applyBorder="1"/>
    <xf numFmtId="169" fontId="0" fillId="0" borderId="0" xfId="4" applyNumberFormat="1" applyFont="1" applyBorder="1"/>
    <xf numFmtId="173" fontId="0" fillId="0" borderId="0" xfId="0" applyNumberFormat="1"/>
    <xf numFmtId="9" fontId="2" fillId="0" borderId="0" xfId="4" applyFont="1" applyBorder="1"/>
    <xf numFmtId="15" fontId="19" fillId="2" borderId="0" xfId="0" applyNumberFormat="1" applyFont="1" applyFill="1"/>
    <xf numFmtId="0" fontId="1" fillId="5" borderId="0" xfId="0" applyFont="1" applyFill="1"/>
    <xf numFmtId="0" fontId="26" fillId="5" borderId="0" xfId="0" applyFont="1" applyFill="1"/>
    <xf numFmtId="0" fontId="44" fillId="2" borderId="0" xfId="0" applyFont="1" applyFill="1"/>
    <xf numFmtId="0" fontId="44" fillId="5" borderId="0" xfId="0" applyFont="1" applyFill="1"/>
    <xf numFmtId="0" fontId="48" fillId="0" borderId="0" xfId="0" applyFont="1"/>
    <xf numFmtId="0" fontId="49" fillId="0" borderId="0" xfId="0" applyFont="1"/>
    <xf numFmtId="0" fontId="48" fillId="0" borderId="5" xfId="0" applyFont="1" applyBorder="1"/>
    <xf numFmtId="0" fontId="50" fillId="0" borderId="0" xfId="0" applyFont="1"/>
    <xf numFmtId="169" fontId="48" fillId="0" borderId="0" xfId="4" applyNumberFormat="1" applyFont="1"/>
    <xf numFmtId="169" fontId="0" fillId="0" borderId="19" xfId="0" applyNumberFormat="1" applyBorder="1"/>
    <xf numFmtId="9" fontId="0" fillId="0" borderId="19" xfId="0" applyNumberFormat="1" applyBorder="1"/>
    <xf numFmtId="10" fontId="0" fillId="0" borderId="19" xfId="0" applyNumberFormat="1" applyBorder="1"/>
    <xf numFmtId="10" fontId="0" fillId="0" borderId="19" xfId="4" applyNumberFormat="1" applyFont="1" applyBorder="1"/>
    <xf numFmtId="0" fontId="18" fillId="5" borderId="0" xfId="0" applyFont="1" applyFill="1"/>
    <xf numFmtId="0" fontId="51" fillId="2" borderId="0" xfId="0" applyFont="1" applyFill="1"/>
    <xf numFmtId="0" fontId="52" fillId="5" borderId="0" xfId="0" applyFont="1" applyFill="1"/>
    <xf numFmtId="169" fontId="0" fillId="0" borderId="19" xfId="4" applyNumberFormat="1" applyFont="1" applyBorder="1"/>
    <xf numFmtId="0" fontId="0" fillId="0" borderId="19" xfId="0" applyBorder="1"/>
    <xf numFmtId="0" fontId="0" fillId="0" borderId="19" xfId="4" applyNumberFormat="1" applyFont="1" applyBorder="1"/>
    <xf numFmtId="0" fontId="2" fillId="0" borderId="2" xfId="0" applyFont="1" applyBorder="1"/>
    <xf numFmtId="0" fontId="2" fillId="0" borderId="4" xfId="0" applyFont="1" applyBorder="1"/>
    <xf numFmtId="169" fontId="2" fillId="0" borderId="2" xfId="4" applyNumberFormat="1" applyFont="1" applyBorder="1"/>
    <xf numFmtId="169" fontId="2" fillId="0" borderId="3" xfId="4" applyNumberFormat="1" applyFont="1" applyBorder="1"/>
    <xf numFmtId="169" fontId="2" fillId="0" borderId="4" xfId="4" applyNumberFormat="1" applyFont="1" applyBorder="1"/>
    <xf numFmtId="169" fontId="2" fillId="0" borderId="17" xfId="4" applyNumberFormat="1" applyFont="1" applyBorder="1"/>
    <xf numFmtId="169" fontId="2" fillId="0" borderId="11" xfId="4" applyNumberFormat="1" applyFont="1" applyBorder="1"/>
    <xf numFmtId="169" fontId="2" fillId="0" borderId="18" xfId="4" applyNumberFormat="1" applyFont="1" applyBorder="1"/>
    <xf numFmtId="165" fontId="2" fillId="0" borderId="0" xfId="0" applyNumberFormat="1" applyFont="1"/>
    <xf numFmtId="0" fontId="2" fillId="0" borderId="20" xfId="0" applyFont="1" applyBorder="1"/>
    <xf numFmtId="2" fontId="2" fillId="0" borderId="20" xfId="0" applyNumberFormat="1" applyFont="1" applyBorder="1"/>
    <xf numFmtId="168" fontId="2" fillId="0" borderId="11" xfId="0" applyNumberFormat="1" applyFont="1" applyBorder="1"/>
    <xf numFmtId="169" fontId="0" fillId="0" borderId="5" xfId="4" applyNumberFormat="1" applyFont="1" applyBorder="1"/>
    <xf numFmtId="168" fontId="48" fillId="0" borderId="0" xfId="0" applyNumberFormat="1" applyFont="1"/>
    <xf numFmtId="2" fontId="48" fillId="0" borderId="0" xfId="0" applyNumberFormat="1" applyFont="1"/>
    <xf numFmtId="169" fontId="50" fillId="0" borderId="0" xfId="4" applyNumberFormat="1" applyFont="1"/>
    <xf numFmtId="9" fontId="2" fillId="0" borderId="0" xfId="4" applyFont="1"/>
    <xf numFmtId="9" fontId="2" fillId="0" borderId="0" xfId="0" applyNumberFormat="1" applyFont="1"/>
    <xf numFmtId="0" fontId="19" fillId="0" borderId="0" xfId="0" applyFont="1"/>
    <xf numFmtId="0" fontId="55" fillId="5" borderId="0" xfId="0" applyFont="1" applyFill="1"/>
    <xf numFmtId="0" fontId="56" fillId="0" borderId="0" xfId="0" applyFont="1"/>
    <xf numFmtId="10" fontId="50" fillId="0" borderId="0" xfId="4" applyNumberFormat="1" applyFont="1"/>
    <xf numFmtId="170" fontId="50" fillId="0" borderId="0" xfId="0" applyNumberFormat="1" applyFont="1"/>
    <xf numFmtId="0" fontId="54" fillId="2" borderId="0" xfId="0" applyFont="1" applyFill="1" applyAlignment="1">
      <alignment horizontal="center"/>
    </xf>
    <xf numFmtId="0" fontId="53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31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13" fillId="0" borderId="9" xfId="0" applyFont="1" applyBorder="1" applyAlignment="1">
      <alignment horizontal="center"/>
    </xf>
  </cellXfs>
  <cellStyles count="11">
    <cellStyle name="check" xfId="8" xr:uid="{FC7A36AE-AC3D-4F61-B1DF-6A30498CA9D4}"/>
    <cellStyle name="Comma" xfId="9" builtinId="3"/>
    <cellStyle name="Hyperlink" xfId="10" builtinId="8"/>
    <cellStyle name="linked model" xfId="7" xr:uid="{606A6FC9-EB75-486E-A5BE-00A43187B924}"/>
    <cellStyle name="model input" xfId="6" xr:uid="{E5A30A81-1D17-4393-BF75-9C12A27488FB}"/>
    <cellStyle name="Normal" xfId="0" builtinId="0"/>
    <cellStyle name="Normal 2" xfId="1" xr:uid="{496CFE09-FE67-4731-8C9A-699A81C018D6}"/>
    <cellStyle name="Normal 3" xfId="2" xr:uid="{0C57756F-15EC-4A9F-A971-561D7C33DF6F}"/>
    <cellStyle name="Per cent" xfId="4" builtinId="5"/>
    <cellStyle name="Per cent 2" xfId="3" xr:uid="{F58C90CC-3578-421C-B388-E7B5D4971EC0}"/>
    <cellStyle name="Warning Text" xfId="5" builtinId="11"/>
  </cellStyles>
  <dxfs count="0"/>
  <tableStyles count="0" defaultTableStyle="TableStyleMedium2" defaultPivotStyle="PivotStyleLight16"/>
  <colors>
    <mruColors>
      <color rgb="FF151718"/>
      <color rgb="FF00000A"/>
      <color rgb="FF0E2841"/>
      <color rgb="FF14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accent4"/>
                </a:solidFill>
              </a:rPr>
              <a:t>NOPAT Sensitivity</a:t>
            </a:r>
            <a:r>
              <a:rPr lang="en-GB" b="1" baseline="0">
                <a:solidFill>
                  <a:schemeClr val="accent4"/>
                </a:solidFill>
              </a:rPr>
              <a:t> Analysis - FY2027E (£m)</a:t>
            </a:r>
            <a:endParaRPr lang="en-GB" b="1">
              <a:solidFill>
                <a:schemeClr val="accent4"/>
              </a:solidFill>
            </a:endParaRPr>
          </a:p>
        </c:rich>
      </c:tx>
      <c:layout>
        <c:manualLayout>
          <c:xMode val="edge"/>
          <c:yMode val="edge"/>
          <c:x val="0.34468320993554569"/>
          <c:y val="4.7917059832079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307576190281914"/>
          <c:y val="0.18273584867741455"/>
          <c:w val="0.8658040801894582"/>
          <c:h val="0.644689360231196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SENSITIVITY!$D$73</c:f>
              <c:strCache>
                <c:ptCount val="1"/>
                <c:pt idx="0">
                  <c:v>Downside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124345855731779E-3"/>
                  <c:y val="-3.461729445981383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FE-4601-B472-6726647ECBC1}"/>
                </c:ext>
              </c:extLst>
            </c:dLbl>
            <c:dLbl>
              <c:idx val="1"/>
              <c:layout>
                <c:manualLayout>
                  <c:x val="4.8659720643726319E-4"/>
                  <c:y val="-3.44111754006265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FE-4601-B472-6726647ECBC1}"/>
                </c:ext>
              </c:extLst>
            </c:dLbl>
            <c:dLbl>
              <c:idx val="2"/>
              <c:layout>
                <c:manualLayout>
                  <c:x val="1.7238150298430897E-3"/>
                  <c:y val="5.361944671341374E-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FE-4601-B472-6726647ECB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SENSITIVITY!$C$74:$C$76</c:f>
              <c:strCache>
                <c:ptCount val="3"/>
                <c:pt idx="0">
                  <c:v>EBIT margin</c:v>
                </c:pt>
                <c:pt idx="1">
                  <c:v>Revenue Growth</c:v>
                </c:pt>
                <c:pt idx="2">
                  <c:v>Reported ETR</c:v>
                </c:pt>
              </c:strCache>
            </c:strRef>
          </c:cat>
          <c:val>
            <c:numRef>
              <c:f>SENSITIVITY!$D$74:$D$76</c:f>
              <c:numCache>
                <c:formatCode>0.00</c:formatCode>
                <c:ptCount val="3"/>
                <c:pt idx="0">
                  <c:v>-104.12933074227499</c:v>
                </c:pt>
                <c:pt idx="1">
                  <c:v>-92.568398145144442</c:v>
                </c:pt>
                <c:pt idx="2">
                  <c:v>-13.805704811357373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F-41CD-9177-187A6E40B2C0}"/>
            </c:ext>
          </c:extLst>
        </c:ser>
        <c:ser>
          <c:idx val="1"/>
          <c:order val="1"/>
          <c:tx>
            <c:strRef>
              <c:f>SENSITIVITY!$E$73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SENSITIVITY!$C$74:$C$76</c:f>
              <c:strCache>
                <c:ptCount val="3"/>
                <c:pt idx="0">
                  <c:v>EBIT margin</c:v>
                </c:pt>
                <c:pt idx="1">
                  <c:v>Revenue Growth</c:v>
                </c:pt>
                <c:pt idx="2">
                  <c:v>Reported ETR</c:v>
                </c:pt>
              </c:strCache>
            </c:strRef>
          </c:cat>
          <c:val>
            <c:numRef>
              <c:f>SENSITIVITY!$E$74:$E$76</c:f>
              <c:numCache>
                <c:formatCode>0.00</c:formatCode>
                <c:ptCount val="3"/>
                <c:pt idx="0">
                  <c:v>114.14178925772467</c:v>
                </c:pt>
                <c:pt idx="1">
                  <c:v>25.289034693187659</c:v>
                </c:pt>
                <c:pt idx="2">
                  <c:v>13.805704811357373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1F-41CD-9177-187A6E40B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148154896"/>
        <c:axId val="1592051824"/>
      </c:barChart>
      <c:catAx>
        <c:axId val="11481548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051824"/>
        <c:crosses val="autoZero"/>
        <c:auto val="1"/>
        <c:lblAlgn val="ctr"/>
        <c:lblOffset val="100"/>
        <c:noMultiLvlLbl val="0"/>
      </c:catAx>
      <c:valAx>
        <c:axId val="1592051824"/>
        <c:scaling>
          <c:orientation val="minMax"/>
          <c:max val="120"/>
          <c:min val="-120"/>
        </c:scaling>
        <c:delete val="0"/>
        <c:axPos val="t"/>
        <c:numFmt formatCode="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54896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2100452387057552"/>
          <c:w val="1"/>
          <c:h val="5.8275458226458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S_Scenario" fmlaRange="L_Scenarios" noThreeD="1" sel="1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175260</xdr:rowOff>
        </xdr:from>
        <xdr:to>
          <xdr:col>4</xdr:col>
          <xdr:colOff>556260</xdr:colOff>
          <xdr:row>8</xdr:row>
          <xdr:rowOff>22860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</xdr:colOff>
      <xdr:row>9</xdr:row>
      <xdr:rowOff>20956</xdr:rowOff>
    </xdr:from>
    <xdr:to>
      <xdr:col>8</xdr:col>
      <xdr:colOff>85725</xdr:colOff>
      <xdr:row>29</xdr:row>
      <xdr:rowOff>45721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D0924-78A7-FF89-047B-04F1E60D7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0.4187</cdr:x>
      <cdr:y>0.90566</cdr:y>
    </cdr:from>
    <cdr:to>
      <cdr:x>0.64446</cdr:x>
      <cdr:y>0.9745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6BDFA91-564B-1A0C-4CCF-26DC94F3C60A}"/>
            </a:ext>
          </a:extLst>
        </cdr:cNvPr>
        <cdr:cNvSpPr txBox="1"/>
      </cdr:nvSpPr>
      <cdr:spPr>
        <a:xfrm xmlns:a="http://schemas.openxmlformats.org/drawingml/2006/main">
          <a:off x="3232785" y="3383279"/>
          <a:ext cx="1743074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 kern="1200"/>
            <a:t>£(NOPAT of Case</a:t>
          </a:r>
          <a:r>
            <a:rPr lang="en-GB" sz="1100" kern="1200" baseline="0"/>
            <a:t> running) 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Oyindamola Aribilola" id="{F9FDEFE2-BAD8-4A63-83E8-64E67D7371F2}" userId="6eaad0ad595764ea" providerId="Windows Live"/>
  <person displayName="oyindamola Aribilola" id="{DD20F800-354C-481F-A190-32C9DB52E78B}" userId="7a0316d2243f45c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518" dT="2026-06-09T17:42:04.70" personId="{F9FDEFE2-BAD8-4A63-83E8-64E67D7371F2}" id="{0E2D6D47-B3DD-474F-8A41-5CF06CFE671C}">
    <text>Excld transition, grew by 3.3%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4" dT="2026-06-22T16:05:41.44" personId="{DD20F800-354C-481F-A190-32C9DB52E78B}" id="{1B9473D0-95C6-469A-8B43-94730CFAFDED}">
    <text>Credit sales</text>
  </threadedComment>
  <threadedComment ref="D177" dT="2026-06-28T01:17:06.82" personId="{DD20F800-354C-481F-A190-32C9DB52E78B}" id="{9278E6CF-67BB-4A68-82A3-56A6885E4092}">
    <text>Using the midpoint of the range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295" dT="2026-06-11T13:02:44.85" personId="{F9FDEFE2-BAD8-4A63-83E8-64E67D7371F2}" id="{E258765C-0C3B-40D8-826F-39E2AF6F4BD0}">
    <text xml:space="preserve">non-recurring TP implementation costs for FatFace in the prior year which, as noted below, are reported within Central and Other costs. </text>
  </threadedComment>
  <threadedComment ref="I762" dT="2026-06-11T21:39:10.21" personId="{F9FDEFE2-BAD8-4A63-83E8-64E67D7371F2}" id="{7C7D2F8E-CF3B-42B9-8E2E-60D0E2B68CD5}">
    <text>Run rate for 2025 &amp; 2026</text>
  </threadedComment>
  <threadedComment ref="H769" dT="2026-06-11T21:20:39.90" personId="{F9FDEFE2-BAD8-4A63-83E8-64E67D7371F2}" id="{36B9BEF2-BC91-4FE7-8F5E-824F9E9F0ACB}">
    <text>Spike excess</text>
  </threadedComment>
  <threadedComment ref="C794" dT="2026-06-14T14:12:09.14" personId="{F9FDEFE2-BAD8-4A63-83E8-64E67D7371F2}" id="{F3F8CB00-2CEC-4D1B-8112-69CFF736EB86}">
    <text>Stripped from finance costs</text>
  </threadedComment>
  <threadedComment ref="E794" dT="2026-06-14T14:12:09.14" personId="{F9FDEFE2-BAD8-4A63-83E8-64E67D7371F2}" id="{55FCE073-F4A8-4763-A92B-EEBF05E7A543}">
    <text>Stripped from finance costs</text>
  </threadedComment>
  <threadedComment ref="H1704" dT="2026-06-12T21:32:21.44" personId="{F9FDEFE2-BAD8-4A63-83E8-64E67D7371F2}" id="{65098030-45CA-40C8-8FED-4FE3C276B02D}">
    <text>Reversal is negative</text>
  </threadedComment>
  <threadedComment ref="H1709" dT="2026-06-12T21:33:32.89" personId="{F9FDEFE2-BAD8-4A63-83E8-64E67D7371F2}" id="{46DB1841-53EF-462F-AE13-813DD92A32EC}">
    <text>Gain is negative</text>
  </threadedComment>
  <threadedComment ref="C1875" dT="2026-06-20T22:52:17.53" personId="{DD20F800-354C-481F-A190-32C9DB52E78B}" id="{8363AC1F-1A9B-49A7-B3FF-D3A4C951D13A}">
    <text>Pg 47,26 report</text>
  </threadedComment>
  <threadedComment ref="H1926" dT="2026-06-12T21:32:21.44" personId="{F9FDEFE2-BAD8-4A63-83E8-64E67D7371F2}" id="{5957D817-A2C4-424A-8271-2334A393110D}">
    <text>Reversal is negative</text>
  </threadedComment>
  <threadedComment ref="H1931" dT="2026-06-12T21:33:32.89" personId="{F9FDEFE2-BAD8-4A63-83E8-64E67D7371F2}" id="{F026BCD6-0029-425A-836B-C4D1F7212516}">
    <text>Gain is negative</text>
  </threadedComment>
  <threadedComment ref="I2006" dT="2026-06-16T17:13:59.85" personId="{DD20F800-354C-481F-A190-32C9DB52E78B}" id="{8FD22E96-C5DE-4EB1-AC96-E2910C853147}">
    <text>Rounding up dif of -0.1 was added</text>
  </threadedComment>
  <threadedComment ref="I2010" dT="2026-06-16T17:11:06.31" personId="{DD20F800-354C-481F-A190-32C9DB52E78B}" id="{FA879DE4-C0D9-45E3-927D-B6FF7392F3E8}">
    <text>Add to impairment= 3.9</text>
  </threadedComment>
  <threadedComment ref="E2159" dT="2026-06-12T13:01:41.22" personId="{F9FDEFE2-BAD8-4A63-83E8-64E67D7371F2}" id="{EBB00A53-5234-4D2D-9FF8-4E519F5C9071}">
    <text>Negative is a release</text>
  </threadedComment>
  <threadedComment ref="I2162" dT="2026-06-12T13:09:23.04" personId="{F9FDEFE2-BAD8-4A63-83E8-64E67D7371F2}" id="{A6CCB730-D912-456C-9B1E-C87835E94031}">
    <text>Negative is a reversal</text>
  </threadedComment>
  <threadedComment ref="C2228" dT="2026-06-22T15:29:09.80" personId="{DD20F800-354C-481F-A190-32C9DB52E78B}" id="{C5B0D0BF-CFC3-45B1-AFF4-25F59780F236}">
    <text>Online sales through TP website</text>
  </threadedComment>
  <threadedComment ref="C2349" dT="2026-06-22T09:27:59.12" personId="{DD20F800-354C-481F-A190-32C9DB52E78B}" id="{DCF5ED35-10C4-456A-9260-D7819110A9D0}">
    <text xml:space="preserve">Credit sales include Online sales and Retail Store sales. Credit sales are a direct indicator of the performance of the NEXT Finance business. </text>
  </threadedComment>
  <threadedComment ref="I2354" dT="2026-06-21T23:05:37.38" personId="{DD20F800-354C-481F-A190-32C9DB52E78B}" id="{951FE9FA-A16A-45E9-952C-DCB4CC0BECBC}">
    <text>This increase is 
mainly from a higher debtors balance, due to the increase in international sales online through 
third-party aggregators, and the timing of settlements</text>
  </threadedComment>
  <threadedComment ref="J2355" dT="2026-06-21T23:08:46.80" personId="{DD20F800-354C-481F-A190-32C9DB52E78B}" id="{7F7395A1-B65D-4E0A-A0BF-69A681762828}">
    <text xml:space="preserve">In the year ahead, we expect a net cash outflow of £75m mainly due to stock increasing in line with forecast sales and the payment of staff incentives. </text>
  </threadedComment>
  <threadedComment ref="I2356" dT="2026-06-21T23:09:10.87" personId="{DD20F800-354C-481F-A190-32C9DB52E78B}" id="{13054878-3B4F-4759-8F12-9987F68B5191}">
    <text xml:space="preserve">Also included within this year’s working capital, is an additional £29m outflow for ‘cash in transit’. </text>
  </threadedComment>
  <threadedComment ref="C2383" dT="2026-06-22T10:00:52.21" personId="{DD20F800-354C-481F-A190-32C9DB52E78B}" id="{E220FBBE-CD1C-43A3-97CC-BC801619A45F}">
    <text>As a % of product revenue, falling steeply overtime</text>
  </threadedComment>
  <threadedComment ref="C2411" dT="2026-06-22T10:55:31.65" personId="{DD20F800-354C-481F-A190-32C9DB52E78B}" id="{FC68B005-4E1C-43F3-BB2D-836B64457371}">
    <text xml:space="preserve">Customer receivables are outstanding customer balances less an allowance for impairment. . Other trade receivables are stated at invoice value less an allowance for impairment </text>
  </threadedComment>
  <threadedComment ref="C2414" dT="2026-06-22T11:23:18.69" personId="{DD20F800-354C-481F-A190-32C9DB52E78B}" id="{3A1B3143-DD39-4C54-8FD1-CE243B114F71}">
    <text xml:space="preserve">customer receivables balance at the year end will be around £1.32bn </text>
  </threadedComment>
  <threadedComment ref="J2760" dT="2026-06-25T14:42:23.18" personId="{DD20F800-354C-481F-A190-32C9DB52E78B}" id="{79C240A0-A70E-4380-9ECF-220701022FF5}">
    <text>120 being the midpoint. Range between 109 and 131; 109 being previous average share price and 131 as the ceiling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nkofengland.co.uk/monetary-policy/the-interest-rate-bank-rate" TargetMode="External"/><Relationship Id="rId2" Type="http://schemas.openxmlformats.org/officeDocument/2006/relationships/hyperlink" Target="https://www.nextplc.co.uk/investors/shareholder-information/debt-investor-information" TargetMode="External"/><Relationship Id="rId1" Type="http://schemas.openxmlformats.org/officeDocument/2006/relationships/hyperlink" Target="https://www.bankofengland.co.uk/boeapps/database/fromshowcolumns.asp?Travel=NIxSUx&amp;FromSeries=1&amp;ToSeries=50&amp;DAT=RNG&amp;FD=1&amp;FM=Jan&amp;FY=2014&amp;TD=6&amp;TM=Dec&amp;TY=2040&amp;FNY=&amp;CSVF=TT&amp;html.x=180&amp;html.y=34&amp;C=5JK&amp;Filter=N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5678-7A99-42A4-9A03-9660195B5AA0}">
  <sheetPr>
    <tabColor rgb="FF14233C"/>
  </sheetPr>
  <dimension ref="A1:Z50"/>
  <sheetViews>
    <sheetView showGridLines="0" tabSelected="1" topLeftCell="A2" zoomScale="116" workbookViewId="0">
      <selection activeCell="H16" sqref="H16"/>
    </sheetView>
  </sheetViews>
  <sheetFormatPr defaultRowHeight="14.4" x14ac:dyDescent="0.3"/>
  <cols>
    <col min="1" max="1" width="10.33203125" customWidth="1"/>
    <col min="2" max="2" width="17.109375" customWidth="1"/>
    <col min="3" max="3" width="11" bestFit="1" customWidth="1"/>
    <col min="4" max="4" width="8" customWidth="1"/>
    <col min="5" max="5" width="3" customWidth="1"/>
    <col min="6" max="6" width="8.88671875" customWidth="1"/>
    <col min="21" max="21" width="9.2187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2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2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85">
      <c r="A6" s="21"/>
      <c r="B6" s="207" t="s">
        <v>137</v>
      </c>
      <c r="C6" s="207"/>
      <c r="D6" s="207"/>
      <c r="E6" s="28"/>
      <c r="F6" s="206" t="s">
        <v>1328</v>
      </c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1"/>
      <c r="T6" s="21"/>
      <c r="U6" s="21"/>
      <c r="V6" s="21"/>
      <c r="W6" s="21"/>
      <c r="X6" s="21"/>
      <c r="Y6" s="21"/>
      <c r="Z6" s="21"/>
    </row>
    <row r="7" spans="1:26" ht="17.399999999999999" customHeight="1" x14ac:dyDescent="0.85">
      <c r="A7" s="21"/>
      <c r="B7" s="207"/>
      <c r="C7" s="207"/>
      <c r="D7" s="207"/>
      <c r="E7" s="28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1"/>
      <c r="T7" s="21"/>
      <c r="U7" s="21"/>
      <c r="V7" s="21"/>
      <c r="W7" s="21"/>
      <c r="X7" s="21"/>
      <c r="Y7" s="21"/>
      <c r="Z7" s="21"/>
    </row>
    <row r="8" spans="1:26" ht="30.6" customHeight="1" x14ac:dyDescent="0.85">
      <c r="A8" s="21"/>
      <c r="B8" s="207"/>
      <c r="C8" s="207"/>
      <c r="D8" s="207"/>
      <c r="E8" s="45" t="s">
        <v>95</v>
      </c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1"/>
      <c r="T8" s="21"/>
      <c r="U8" s="21"/>
      <c r="V8" s="21"/>
      <c r="W8" s="21"/>
      <c r="X8" s="21"/>
      <c r="Y8" s="21"/>
      <c r="Z8" s="21"/>
    </row>
    <row r="9" spans="1:26" ht="14.4" customHeight="1" x14ac:dyDescent="0.55000000000000004">
      <c r="A9" s="21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1"/>
      <c r="T9" s="21"/>
      <c r="U9" s="21"/>
      <c r="V9" s="21"/>
      <c r="W9" s="21"/>
      <c r="X9" s="21"/>
      <c r="Y9" s="21"/>
      <c r="Z9" s="21"/>
    </row>
    <row r="10" spans="1:26" ht="29.4" customHeight="1" x14ac:dyDescent="0.5">
      <c r="A10" s="21"/>
      <c r="B10" s="21"/>
      <c r="C10" s="21"/>
      <c r="D10" s="22"/>
      <c r="E10" s="22"/>
      <c r="F10" s="22"/>
      <c r="G10" s="23" t="s">
        <v>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3">
      <c r="A11" s="21"/>
      <c r="B11" s="21"/>
      <c r="C11" s="21"/>
      <c r="D11" s="21"/>
      <c r="E11" s="21"/>
      <c r="F11" s="21"/>
      <c r="G11" s="21"/>
      <c r="H11" s="14" t="str">
        <f>"FINANCIAL MODEL FOR " &amp;Base_Year +1&amp;  " to " &amp; Forecast_year+Base_Year</f>
        <v>FINANCIAL MODEL FOR 2027 to 2031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4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3">
      <c r="A15" s="21"/>
      <c r="B15" s="14" t="s">
        <v>2</v>
      </c>
      <c r="C15" s="14" t="s">
        <v>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">
      <c r="A16" s="21"/>
      <c r="B16" s="1"/>
      <c r="C16" s="1"/>
      <c r="D16" s="21"/>
      <c r="E16" s="21"/>
      <c r="F16" s="21"/>
      <c r="G16" s="24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3">
      <c r="A17" s="21"/>
      <c r="B17" s="14" t="s">
        <v>1</v>
      </c>
      <c r="C17" s="25">
        <v>46167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3">
      <c r="A18" s="21"/>
      <c r="B18" s="1"/>
      <c r="C18" s="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3">
      <c r="A19" s="21"/>
      <c r="B19" s="14" t="s">
        <v>4</v>
      </c>
      <c r="C19" s="14" t="s">
        <v>94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3">
      <c r="A20" s="21"/>
      <c r="B20" s="1"/>
      <c r="C20" s="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3">
      <c r="A21" s="21"/>
      <c r="B21" s="14" t="s">
        <v>36</v>
      </c>
      <c r="C21" s="26">
        <v>2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">
      <c r="A22" s="21"/>
      <c r="B22" s="1"/>
      <c r="C22" s="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3">
      <c r="A30" s="21" t="s">
        <v>644</v>
      </c>
      <c r="B30" s="21" t="s">
        <v>645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</sheetData>
  <mergeCells count="2">
    <mergeCell ref="F6:R8"/>
    <mergeCell ref="B6:D8"/>
  </mergeCells>
  <dataValidations count="1">
    <dataValidation type="list" allowBlank="1" showInputMessage="1" showErrorMessage="1" sqref="C21" xr:uid="{25DBD8E1-4F9F-4CC3-AA7E-D6163FD24B51}">
      <formula1>"1,2"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3623-2C56-4D90-9493-A5A44829C0D6}">
  <sheetPr>
    <tabColor theme="5" tint="-0.249977111117893"/>
  </sheetPr>
  <dimension ref="A1:AR46"/>
  <sheetViews>
    <sheetView showGridLines="0" zoomScale="83" workbookViewId="0">
      <selection activeCell="G36" sqref="G36"/>
    </sheetView>
  </sheetViews>
  <sheetFormatPr defaultRowHeight="14.4" x14ac:dyDescent="0.3"/>
  <cols>
    <col min="1" max="1" width="4.88671875" customWidth="1"/>
    <col min="2" max="2" width="6.88671875" customWidth="1"/>
    <col min="3" max="3" width="29.6640625" customWidth="1"/>
    <col min="5" max="5" width="34" customWidth="1"/>
    <col min="6" max="6" width="8.77734375" customWidth="1"/>
    <col min="7" max="7" width="11" customWidth="1"/>
    <col min="8" max="8" width="14.6640625" customWidth="1"/>
    <col min="9" max="9" width="13" customWidth="1"/>
    <col min="10" max="10" width="14.21875" customWidth="1"/>
    <col min="11" max="11" width="19.77734375" customWidth="1"/>
    <col min="12" max="12" width="11.33203125" customWidth="1"/>
    <col min="13" max="13" width="16.33203125" customWidth="1"/>
    <col min="14" max="14" width="13.109375" customWidth="1"/>
    <col min="15" max="15" width="11.33203125" customWidth="1"/>
    <col min="16" max="16" width="10.5546875" customWidth="1"/>
    <col min="17" max="17" width="13.6640625" customWidth="1"/>
    <col min="18" max="18" width="9.5546875" customWidth="1"/>
    <col min="19" max="19" width="11.33203125" customWidth="1"/>
    <col min="20" max="20" width="8.77734375" customWidth="1"/>
  </cols>
  <sheetData>
    <row r="1" spans="1:44" ht="33.6" x14ac:dyDescent="0.65">
      <c r="A1" s="1"/>
      <c r="B1" s="1"/>
      <c r="C1" s="205" t="s">
        <v>1320</v>
      </c>
      <c r="D1" s="1"/>
      <c r="E1" s="1"/>
      <c r="F1" s="1"/>
      <c r="G1" s="1"/>
      <c r="H1" s="1"/>
      <c r="I1" s="1"/>
      <c r="J1" s="1"/>
      <c r="K1" s="177" t="str">
        <f>SCENARIOS!K1</f>
        <v xml:space="preserve"> CURRENTLY RUNNING:   BULL / BEST CASE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4" t="str">
        <f>'HISTORICAL FS'!L2</f>
        <v>NEXT PLC</v>
      </c>
      <c r="N2" s="1"/>
      <c r="O2" s="1"/>
      <c r="P2" s="1"/>
      <c r="Q2" s="1"/>
      <c r="R2" s="1"/>
      <c r="S2" s="1"/>
      <c r="T2" s="1"/>
      <c r="U2" s="1"/>
      <c r="V2" s="1"/>
      <c r="W2" s="1"/>
      <c r="X2" s="3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1"/>
      <c r="C3" s="16"/>
      <c r="D3" s="1"/>
      <c r="E3" s="1"/>
      <c r="F3" s="1"/>
      <c r="G3" s="1"/>
      <c r="H3" s="1"/>
      <c r="I3" s="1"/>
      <c r="J3" s="1"/>
      <c r="K3" s="1"/>
      <c r="L3" s="1"/>
      <c r="M3" s="165" t="str">
        <f>'HISTORICAL FS'!L3</f>
        <v>Bal Check:  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62">
        <f>ASSUMPTIONS!G4</f>
        <v>45322</v>
      </c>
      <c r="H4" s="162">
        <f>ASSUMPTIONS!H4</f>
        <v>45688</v>
      </c>
      <c r="I4" s="162">
        <f>ASSUMPTIONS!I4</f>
        <v>46053</v>
      </c>
      <c r="J4" s="162">
        <f>ASSUMPTIONS!J4</f>
        <v>46418</v>
      </c>
      <c r="K4" s="162">
        <f>ASSUMPTIONS!K4</f>
        <v>46783</v>
      </c>
      <c r="L4" s="162">
        <f>ASSUMPTIONS!L4</f>
        <v>47149</v>
      </c>
      <c r="M4" s="162">
        <f>ASSUMPTIONS!M4</f>
        <v>47514</v>
      </c>
      <c r="N4" s="162">
        <f>ASSUMPTIONS!N4</f>
        <v>47879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3">
      <c r="A5" s="1"/>
      <c r="B5" s="1"/>
      <c r="C5" s="1"/>
      <c r="D5" s="1"/>
      <c r="E5" s="1"/>
      <c r="F5" s="1"/>
      <c r="G5" s="19">
        <f>ASSUMPTIONS!G5</f>
        <v>2024</v>
      </c>
      <c r="H5" s="19">
        <f>ASSUMPTIONS!H5</f>
        <v>2025</v>
      </c>
      <c r="I5" s="19">
        <f>ASSUMPTIONS!I5</f>
        <v>2026</v>
      </c>
      <c r="J5" s="20">
        <f>ASSUMPTIONS!J5</f>
        <v>2027</v>
      </c>
      <c r="K5" s="20">
        <f>ASSUMPTIONS!K5</f>
        <v>2028</v>
      </c>
      <c r="L5" s="20">
        <f>ASSUMPTIONS!L5</f>
        <v>2029</v>
      </c>
      <c r="M5" s="20">
        <f>ASSUMPTIONS!M5</f>
        <v>2030</v>
      </c>
      <c r="N5" s="20">
        <f>ASSUMPTIONS!N5</f>
        <v>2031</v>
      </c>
      <c r="O5" s="1"/>
      <c r="P5" s="1"/>
      <c r="Q5" s="1"/>
      <c r="R5" s="1"/>
      <c r="S5" s="1"/>
      <c r="T5" s="15"/>
      <c r="U5" s="15"/>
      <c r="V5" s="15"/>
      <c r="W5" s="15"/>
      <c r="X5" s="1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135"/>
      <c r="C6" s="135"/>
      <c r="D6" s="135" t="s">
        <v>96</v>
      </c>
      <c r="E6" s="135" t="s">
        <v>97</v>
      </c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</row>
    <row r="7" spans="1:44" x14ac:dyDescent="0.3">
      <c r="B7" s="2" t="s">
        <v>129</v>
      </c>
    </row>
    <row r="8" spans="1:44" x14ac:dyDescent="0.3">
      <c r="C8" t="str">
        <f>'MODEL&amp;SCHEDULE'!C17</f>
        <v>Revenue</v>
      </c>
      <c r="D8" t="s">
        <v>1023</v>
      </c>
      <c r="G8">
        <f>'MODEL&amp;SCHEDULE'!G17</f>
        <v>5491</v>
      </c>
      <c r="H8">
        <f>'MODEL&amp;SCHEDULE'!H17</f>
        <v>6118.0999999999995</v>
      </c>
      <c r="I8">
        <f>'MODEL&amp;SCHEDULE'!I17</f>
        <v>6901.3</v>
      </c>
      <c r="J8" s="99">
        <f>'MODEL&amp;SCHEDULE'!J17</f>
        <v>7275.7040000000006</v>
      </c>
      <c r="K8" s="99">
        <f>'MODEL&amp;SCHEDULE'!K17</f>
        <v>7952.2216399999998</v>
      </c>
      <c r="L8" s="99">
        <f>'MODEL&amp;SCHEDULE'!L17</f>
        <v>8824.742226710001</v>
      </c>
      <c r="M8" s="99">
        <f>'MODEL&amp;SCHEDULE'!M17</f>
        <v>9622.7976652272009</v>
      </c>
      <c r="N8" s="99">
        <f>'MODEL&amp;SCHEDULE'!N17</f>
        <v>10418.632566040322</v>
      </c>
    </row>
    <row r="9" spans="1:44" x14ac:dyDescent="0.3">
      <c r="C9" s="167" t="s">
        <v>1315</v>
      </c>
      <c r="D9" t="s">
        <v>1022</v>
      </c>
      <c r="G9" s="71"/>
      <c r="H9" s="70">
        <f>IFERROR(H8/G8-1,0)</f>
        <v>0.11420506283008547</v>
      </c>
      <c r="I9" s="70">
        <f>IFERROR(I8/H8-1,0)</f>
        <v>0.12801359899315168</v>
      </c>
      <c r="J9" s="70">
        <f t="shared" ref="J9:N9" si="0">IFERROR(J8/I8-1,0)</f>
        <v>5.4251228029501775E-2</v>
      </c>
      <c r="K9" s="70">
        <f t="shared" si="0"/>
        <v>9.2983117510003099E-2</v>
      </c>
      <c r="L9" s="70">
        <f t="shared" si="0"/>
        <v>0.10972035567031813</v>
      </c>
      <c r="M9" s="70">
        <f t="shared" si="0"/>
        <v>9.0433852685431582E-2</v>
      </c>
      <c r="N9" s="70">
        <f t="shared" si="0"/>
        <v>8.2703069159288045E-2</v>
      </c>
    </row>
    <row r="12" spans="1:44" x14ac:dyDescent="0.3">
      <c r="B12" s="2" t="s">
        <v>133</v>
      </c>
    </row>
    <row r="13" spans="1:44" x14ac:dyDescent="0.3">
      <c r="C13" t="str">
        <f>'MODEL&amp;SCHEDULE'!C67</f>
        <v xml:space="preserve"> EBITDA</v>
      </c>
      <c r="D13" t="s">
        <v>1023</v>
      </c>
      <c r="G13" s="99">
        <f>'MODEL&amp;SCHEDULE'!G67</f>
        <v>1211.0999999999999</v>
      </c>
      <c r="H13" s="99">
        <f>'MODEL&amp;SCHEDULE'!H67</f>
        <v>1363.8999999999994</v>
      </c>
      <c r="I13" s="99">
        <f>'MODEL&amp;SCHEDULE'!I67</f>
        <v>1574.5000000000005</v>
      </c>
      <c r="J13" s="99">
        <f>'MODEL&amp;SCHEDULE'!J67</f>
        <v>1688.1823609443154</v>
      </c>
      <c r="K13" s="99">
        <f>'MODEL&amp;SCHEDULE'!K67</f>
        <v>1835.0381444677118</v>
      </c>
      <c r="L13" s="99">
        <f>'MODEL&amp;SCHEDULE'!L67</f>
        <v>2017.8368152834223</v>
      </c>
      <c r="M13" s="99">
        <f>'MODEL&amp;SCHEDULE'!M67</f>
        <v>2186.1258350059734</v>
      </c>
      <c r="N13" s="99">
        <f>'MODEL&amp;SCHEDULE'!N67</f>
        <v>2353.4501359185533</v>
      </c>
    </row>
    <row r="14" spans="1:44" x14ac:dyDescent="0.3">
      <c r="C14" s="167" t="s">
        <v>1316</v>
      </c>
      <c r="D14" t="s">
        <v>1022</v>
      </c>
      <c r="G14" s="167"/>
      <c r="H14" s="70">
        <f>IFERROR(H13/G13-1,0)</f>
        <v>0.12616629510362443</v>
      </c>
      <c r="I14" s="70">
        <f t="shared" ref="I14:N14" si="1">IFERROR(I13/H13-1,0)</f>
        <v>0.15441014737150893</v>
      </c>
      <c r="J14" s="70">
        <f t="shared" si="1"/>
        <v>7.2202198122778505E-2</v>
      </c>
      <c r="K14" s="70">
        <f t="shared" si="1"/>
        <v>8.6990473849785976E-2</v>
      </c>
      <c r="L14" s="70">
        <f t="shared" si="1"/>
        <v>9.9615733529470951E-2</v>
      </c>
      <c r="M14" s="70">
        <f t="shared" si="1"/>
        <v>8.3400708346632824E-2</v>
      </c>
      <c r="N14" s="70">
        <f t="shared" si="1"/>
        <v>7.6539190120372247E-2</v>
      </c>
    </row>
    <row r="15" spans="1:44" x14ac:dyDescent="0.3">
      <c r="C15" s="167" t="str">
        <f>'MODEL&amp;SCHEDULE'!C78</f>
        <v>EBITDA margin</v>
      </c>
      <c r="D15" t="s">
        <v>1022</v>
      </c>
      <c r="G15" s="197">
        <f>'MODEL&amp;SCHEDULE'!G78</f>
        <v>0.22056091786559823</v>
      </c>
      <c r="H15" s="197">
        <f>'MODEL&amp;SCHEDULE'!H78</f>
        <v>0.22292868701067317</v>
      </c>
      <c r="I15" s="197">
        <f>'MODEL&amp;SCHEDULE'!I78</f>
        <v>0.22814542187703771</v>
      </c>
      <c r="J15" s="197">
        <f>'MODEL&amp;SCHEDULE'!J78</f>
        <v>0.23203010470798638</v>
      </c>
      <c r="K15" s="197">
        <f>'MODEL&amp;SCHEDULE'!K78</f>
        <v>0.23075792244489202</v>
      </c>
      <c r="L15" s="197">
        <f>'MODEL&amp;SCHEDULE'!L78</f>
        <v>0.22865674298972727</v>
      </c>
      <c r="M15" s="197">
        <f>'MODEL&amp;SCHEDULE'!M78</f>
        <v>0.22718193929253291</v>
      </c>
      <c r="N15" s="197">
        <f>'MODEL&amp;SCHEDULE'!N78</f>
        <v>0.22588858192289618</v>
      </c>
    </row>
    <row r="16" spans="1:44" x14ac:dyDescent="0.3">
      <c r="C16" s="167"/>
      <c r="G16" s="167"/>
      <c r="H16" s="167"/>
      <c r="I16" s="167"/>
      <c r="J16" s="167"/>
      <c r="K16" s="167"/>
      <c r="L16" s="167"/>
      <c r="M16" s="167"/>
      <c r="N16" s="167"/>
    </row>
    <row r="17" spans="2:14" x14ac:dyDescent="0.3">
      <c r="C17" s="167"/>
      <c r="G17" s="167"/>
      <c r="H17" s="167"/>
      <c r="I17" s="167"/>
      <c r="J17" s="167"/>
      <c r="K17" s="167"/>
      <c r="L17" s="167"/>
      <c r="M17" s="167"/>
      <c r="N17" s="167"/>
    </row>
    <row r="18" spans="2:14" x14ac:dyDescent="0.3">
      <c r="B18" s="2" t="s">
        <v>1351</v>
      </c>
      <c r="C18" s="167"/>
      <c r="G18" s="167"/>
      <c r="H18" s="167"/>
      <c r="I18" s="167"/>
      <c r="J18" s="167"/>
      <c r="K18" s="167"/>
      <c r="L18" s="167"/>
      <c r="M18" s="167"/>
      <c r="N18" s="167"/>
    </row>
    <row r="19" spans="2:14" x14ac:dyDescent="0.3">
      <c r="C19" s="167" t="str">
        <f>'MODEL&amp;SCHEDULE'!C64</f>
        <v xml:space="preserve"> EBIT</v>
      </c>
      <c r="D19" t="s">
        <v>1023</v>
      </c>
      <c r="G19" s="195">
        <f>'MODEL&amp;SCHEDULE'!G64</f>
        <v>970.5</v>
      </c>
      <c r="H19" s="195">
        <f>'MODEL&amp;SCHEDULE'!H64</f>
        <v>1074.9999999999993</v>
      </c>
      <c r="I19" s="195">
        <f>'MODEL&amp;SCHEDULE'!I64</f>
        <v>1272.0000000000005</v>
      </c>
      <c r="J19" s="195">
        <f>'MODEL&amp;SCHEDULE'!J64</f>
        <v>1380.5704811357339</v>
      </c>
      <c r="K19" s="195">
        <f>'MODEL&amp;SCHEDULE'!K64</f>
        <v>1509.3565471964775</v>
      </c>
      <c r="L19" s="195">
        <f>'MODEL&amp;SCHEDULE'!L64</f>
        <v>1675.3355323827304</v>
      </c>
      <c r="M19" s="195">
        <f>'MODEL&amp;SCHEDULE'!M64</f>
        <v>1827.4274484370094</v>
      </c>
      <c r="N19" s="195">
        <f>'MODEL&amp;SCHEDULE'!N64</f>
        <v>1979.313393904391</v>
      </c>
    </row>
    <row r="20" spans="2:14" x14ac:dyDescent="0.3">
      <c r="C20" s="167" t="s">
        <v>1354</v>
      </c>
      <c r="D20" t="s">
        <v>1022</v>
      </c>
      <c r="G20" s="167"/>
      <c r="H20" s="70">
        <f>IFERROR(H19/G19-1,0)</f>
        <v>0.10767645543534199</v>
      </c>
      <c r="I20" s="70">
        <f t="shared" ref="I20:N20" si="2">IFERROR(I19/H19-1,0)</f>
        <v>0.18325581395348944</v>
      </c>
      <c r="J20" s="70">
        <f t="shared" si="2"/>
        <v>8.5354151836268377E-2</v>
      </c>
      <c r="K20" s="70">
        <f t="shared" si="2"/>
        <v>9.3284673126428963E-2</v>
      </c>
      <c r="L20" s="70">
        <f t="shared" si="2"/>
        <v>0.10996671760197874</v>
      </c>
      <c r="M20" s="70">
        <f t="shared" si="2"/>
        <v>9.0782958466813835E-2</v>
      </c>
      <c r="N20" s="70">
        <f t="shared" si="2"/>
        <v>8.3114624111227497E-2</v>
      </c>
    </row>
    <row r="21" spans="2:14" x14ac:dyDescent="0.3">
      <c r="C21" s="167" t="str">
        <f>'MODEL&amp;SCHEDULE'!C77</f>
        <v>EBIT margin</v>
      </c>
      <c r="D21" t="s">
        <v>1022</v>
      </c>
      <c r="G21" s="197">
        <f>'MODEL&amp;SCHEDULE'!G77</f>
        <v>0.17674376252048807</v>
      </c>
      <c r="H21" s="197">
        <f>'MODEL&amp;SCHEDULE'!H77</f>
        <v>0.17570814468544146</v>
      </c>
      <c r="I21" s="197">
        <f>'MODEL&amp;SCHEDULE'!I77</f>
        <v>0.18431310043035376</v>
      </c>
      <c r="J21" s="197">
        <f>'MODEL&amp;SCHEDULE'!J77</f>
        <v>0.18975077616347968</v>
      </c>
      <c r="K21" s="197">
        <f>'MODEL&amp;SCHEDULE'!K77</f>
        <v>0.18980312867593535</v>
      </c>
      <c r="L21" s="197">
        <f>'MODEL&amp;SCHEDULE'!L77</f>
        <v>0.18984526565682147</v>
      </c>
      <c r="M21" s="197">
        <f>'MODEL&amp;SCHEDULE'!M77</f>
        <v>0.18990604520768156</v>
      </c>
      <c r="N21" s="197">
        <f>'MODEL&amp;SCHEDULE'!N77</f>
        <v>0.18997823191845642</v>
      </c>
    </row>
    <row r="22" spans="2:14" x14ac:dyDescent="0.3">
      <c r="C22" s="167"/>
      <c r="G22" s="167"/>
      <c r="H22" s="167"/>
      <c r="I22" s="167"/>
      <c r="J22" s="167"/>
      <c r="K22" s="167"/>
      <c r="L22" s="167"/>
      <c r="M22" s="167"/>
      <c r="N22" s="167"/>
    </row>
    <row r="23" spans="2:14" x14ac:dyDescent="0.3">
      <c r="C23" s="167"/>
      <c r="G23" s="167"/>
      <c r="H23" s="167"/>
      <c r="I23" s="167"/>
      <c r="J23" s="167"/>
      <c r="K23" s="167"/>
      <c r="L23" s="167"/>
      <c r="M23" s="167"/>
      <c r="N23" s="167"/>
    </row>
    <row r="24" spans="2:14" x14ac:dyDescent="0.3">
      <c r="B24" s="2" t="s">
        <v>1352</v>
      </c>
      <c r="C24" s="167"/>
      <c r="G24" s="167"/>
      <c r="H24" s="167"/>
      <c r="I24" s="167"/>
      <c r="J24" s="167"/>
      <c r="K24" s="167"/>
      <c r="L24" s="167"/>
      <c r="M24" s="167"/>
      <c r="N24" s="167"/>
    </row>
    <row r="25" spans="2:14" x14ac:dyDescent="0.3">
      <c r="C25" s="167" t="str">
        <f>'MODEL&amp;SCHEDULE'!C73</f>
        <v>EBIAT/NOPAT</v>
      </c>
      <c r="D25" t="s">
        <v>1023</v>
      </c>
      <c r="G25" s="167">
        <f>'MODEL&amp;SCHEDULE'!G73</f>
        <v>727.875</v>
      </c>
      <c r="H25" s="167">
        <f>'MODEL&amp;SCHEDULE'!H73</f>
        <v>806.24999999999955</v>
      </c>
      <c r="I25" s="167">
        <f>'MODEL&amp;SCHEDULE'!I73</f>
        <v>954.00000000000034</v>
      </c>
      <c r="J25" s="196">
        <f>'MODEL&amp;SCHEDULE'!J73</f>
        <v>1035.4278608518005</v>
      </c>
      <c r="K25" s="196">
        <f>'MODEL&amp;SCHEDULE'!K73</f>
        <v>1132.0174103973582</v>
      </c>
      <c r="L25" s="196">
        <f>'MODEL&amp;SCHEDULE'!L73</f>
        <v>1256.5016492870477</v>
      </c>
      <c r="M25" s="196">
        <f>'MODEL&amp;SCHEDULE'!M73</f>
        <v>1370.5705863277572</v>
      </c>
      <c r="N25" s="196">
        <f>'MODEL&amp;SCHEDULE'!N73</f>
        <v>1484.4850454282932</v>
      </c>
    </row>
    <row r="26" spans="2:14" x14ac:dyDescent="0.3">
      <c r="C26" s="167" t="s">
        <v>1353</v>
      </c>
      <c r="D26" t="s">
        <v>1022</v>
      </c>
      <c r="G26" s="167"/>
      <c r="H26" s="70">
        <f>IFERROR(H25/G25-1,0)</f>
        <v>0.10767645543534199</v>
      </c>
      <c r="I26" s="70">
        <f t="shared" ref="I26:N26" si="3">IFERROR(I25/H25-1,0)</f>
        <v>0.18325581395348944</v>
      </c>
      <c r="J26" s="70">
        <f t="shared" si="3"/>
        <v>8.5354151836268377E-2</v>
      </c>
      <c r="K26" s="70">
        <f t="shared" si="3"/>
        <v>9.3284673126428963E-2</v>
      </c>
      <c r="L26" s="70">
        <f t="shared" si="3"/>
        <v>0.10996671760197874</v>
      </c>
      <c r="M26" s="70">
        <f t="shared" si="3"/>
        <v>9.0782958466814057E-2</v>
      </c>
      <c r="N26" s="70">
        <f t="shared" si="3"/>
        <v>8.3114624111227497E-2</v>
      </c>
    </row>
    <row r="27" spans="2:14" x14ac:dyDescent="0.3">
      <c r="C27" s="167" t="str">
        <f>'MODEL&amp;SCHEDULE'!C79</f>
        <v>EBIAT/NOPAT margin</v>
      </c>
      <c r="D27" t="s">
        <v>1022</v>
      </c>
      <c r="G27" s="203">
        <f>'MODEL&amp;SCHEDULE'!G79</f>
        <v>0.13255782189036605</v>
      </c>
      <c r="H27" s="203">
        <f>'MODEL&amp;SCHEDULE'!H79</f>
        <v>0.13178110851408112</v>
      </c>
      <c r="I27" s="203">
        <f>'MODEL&amp;SCHEDULE'!I79</f>
        <v>0.13823482532276532</v>
      </c>
      <c r="J27" s="203">
        <f>'MODEL&amp;SCHEDULE'!J79</f>
        <v>0.14231308212260976</v>
      </c>
      <c r="K27" s="203">
        <f>'MODEL&amp;SCHEDULE'!K79</f>
        <v>0.1423523465069515</v>
      </c>
      <c r="L27" s="203">
        <f>'MODEL&amp;SCHEDULE'!L79</f>
        <v>0.1423839492426161</v>
      </c>
      <c r="M27" s="203">
        <f>'MODEL&amp;SCHEDULE'!M79</f>
        <v>0.14242953390576119</v>
      </c>
      <c r="N27" s="203">
        <f>'MODEL&amp;SCHEDULE'!N79</f>
        <v>0.14248367393884231</v>
      </c>
    </row>
    <row r="28" spans="2:14" x14ac:dyDescent="0.3">
      <c r="C28" s="167"/>
    </row>
    <row r="30" spans="2:14" ht="15" x14ac:dyDescent="0.3">
      <c r="C30" s="168"/>
    </row>
    <row r="31" spans="2:14" x14ac:dyDescent="0.3">
      <c r="B31" s="2" t="s">
        <v>1317</v>
      </c>
    </row>
    <row r="32" spans="2:14" x14ac:dyDescent="0.3">
      <c r="C32" t="str">
        <f>'MODEL&amp;SCHEDULE'!C71</f>
        <v>Recurring Net Income</v>
      </c>
      <c r="D32" t="s">
        <v>1023</v>
      </c>
      <c r="G32" s="100">
        <f>'MODEL&amp;SCHEDULE'!G71</f>
        <v>868.9</v>
      </c>
      <c r="H32" s="100">
        <f>'MODEL&amp;SCHEDULE'!H71</f>
        <v>742.89999999999941</v>
      </c>
      <c r="I32" s="100">
        <f>'MODEL&amp;SCHEDULE'!I71</f>
        <v>892.90000000000032</v>
      </c>
      <c r="J32" s="100">
        <f>'MODEL&amp;SCHEDULE'!J71</f>
        <v>1052.7284380094547</v>
      </c>
      <c r="K32" s="100">
        <f>'MODEL&amp;SCHEDULE'!K71</f>
        <v>1150.7809170059288</v>
      </c>
      <c r="L32" s="100">
        <f>'MODEL&amp;SCHEDULE'!L71</f>
        <v>1284.0156079738999</v>
      </c>
      <c r="M32" s="100">
        <f>'MODEL&amp;SCHEDULE'!M71</f>
        <v>1399.7976349722931</v>
      </c>
      <c r="N32" s="100">
        <f>'MODEL&amp;SCHEDULE'!N71</f>
        <v>1520.7001845516311</v>
      </c>
    </row>
    <row r="33" spans="2:20" x14ac:dyDescent="0.3">
      <c r="C33" s="167" t="s">
        <v>1318</v>
      </c>
      <c r="D33" t="s">
        <v>1022</v>
      </c>
      <c r="H33" s="70">
        <f>IFERROR(H32/G32-1,0)</f>
        <v>-0.14501093336402415</v>
      </c>
      <c r="I33" s="70">
        <f t="shared" ref="I33:N33" si="4">IFERROR(I32/H32-1,0)</f>
        <v>0.20191142818683683</v>
      </c>
      <c r="J33" s="70">
        <f t="shared" si="4"/>
        <v>0.17899925860617572</v>
      </c>
      <c r="K33" s="70">
        <f t="shared" si="4"/>
        <v>9.3141284548060588E-2</v>
      </c>
      <c r="L33" s="70">
        <f t="shared" si="4"/>
        <v>0.11577763325674328</v>
      </c>
      <c r="M33" s="70">
        <f t="shared" si="4"/>
        <v>9.017182211756003E-2</v>
      </c>
      <c r="N33" s="70">
        <f t="shared" si="4"/>
        <v>8.6371448671386686E-2</v>
      </c>
    </row>
    <row r="34" spans="2:20" x14ac:dyDescent="0.3">
      <c r="C34" s="167" t="str">
        <f>'MODEL&amp;SCHEDULE'!C84</f>
        <v>Recurring NI margin</v>
      </c>
      <c r="D34" t="s">
        <v>1022</v>
      </c>
      <c r="H34" s="197">
        <f>'MODEL&amp;SCHEDULE'!H84</f>
        <v>0.12142658668540879</v>
      </c>
      <c r="I34" s="197">
        <f>'MODEL&amp;SCHEDULE'!I84</f>
        <v>0.12938142089171609</v>
      </c>
      <c r="J34" s="197">
        <f>'MODEL&amp;SCHEDULE'!J84</f>
        <v>0.14469093822528439</v>
      </c>
      <c r="K34" s="197">
        <f>'MODEL&amp;SCHEDULE'!K84</f>
        <v>0.14471187664305704</v>
      </c>
      <c r="L34" s="197">
        <f>'MODEL&amp;SCHEDULE'!L84</f>
        <v>0.14550176934206049</v>
      </c>
      <c r="M34" s="197">
        <f>'MODEL&amp;SCHEDULE'!M84</f>
        <v>0.14546680535854775</v>
      </c>
      <c r="N34" s="197">
        <f>'MODEL&amp;SCHEDULE'!N84</f>
        <v>0.14595967128242671</v>
      </c>
    </row>
    <row r="37" spans="2:20" x14ac:dyDescent="0.3">
      <c r="B37" s="2" t="s">
        <v>1312</v>
      </c>
    </row>
    <row r="38" spans="2:20" x14ac:dyDescent="0.3">
      <c r="C38" s="167" t="str">
        <f>'MODEL&amp;SCHEDULE'!C87</f>
        <v>Return on Equity</v>
      </c>
      <c r="D38" s="167" t="str">
        <f>'MODEL&amp;SCHEDULE'!D87</f>
        <v>%</v>
      </c>
      <c r="H38" s="197">
        <f>'MODEL&amp;SCHEDULE'!H87</f>
        <v>0.43788865639091068</v>
      </c>
      <c r="I38" s="197">
        <f>'MODEL&amp;SCHEDULE'!I87</f>
        <v>0.50520538644336321</v>
      </c>
      <c r="J38" s="197">
        <f>'MODEL&amp;SCHEDULE'!J87</f>
        <v>0.54067219276629197</v>
      </c>
      <c r="K38" s="197">
        <f>'MODEL&amp;SCHEDULE'!K87</f>
        <v>0.50579958446386741</v>
      </c>
      <c r="L38" s="197">
        <f>'MODEL&amp;SCHEDULE'!L87</f>
        <v>0.47686312167109035</v>
      </c>
      <c r="M38" s="197">
        <f>'MODEL&amp;SCHEDULE'!M87</f>
        <v>0.43835069282838018</v>
      </c>
      <c r="N38" s="197">
        <f>'MODEL&amp;SCHEDULE'!N87</f>
        <v>0.40841994651420016</v>
      </c>
    </row>
    <row r="39" spans="2:20" x14ac:dyDescent="0.3">
      <c r="C39" s="167" t="str">
        <f>'MODEL&amp;SCHEDULE'!C84</f>
        <v>Recurring NI margin</v>
      </c>
      <c r="D39" s="167" t="str">
        <f>'MODEL&amp;SCHEDULE'!D84</f>
        <v>%</v>
      </c>
      <c r="H39" s="171">
        <f>'MODEL&amp;SCHEDULE'!H84</f>
        <v>0.12142658668540879</v>
      </c>
      <c r="I39" s="171">
        <f>'MODEL&amp;SCHEDULE'!I84</f>
        <v>0.12938142089171609</v>
      </c>
      <c r="J39" s="171">
        <f>'MODEL&amp;SCHEDULE'!J84</f>
        <v>0.14469093822528439</v>
      </c>
      <c r="K39" s="171">
        <f>'MODEL&amp;SCHEDULE'!K84</f>
        <v>0.14471187664305704</v>
      </c>
      <c r="L39" s="171">
        <f>'MODEL&amp;SCHEDULE'!L84</f>
        <v>0.14550176934206049</v>
      </c>
      <c r="M39" s="171">
        <f>'MODEL&amp;SCHEDULE'!M84</f>
        <v>0.14546680535854775</v>
      </c>
      <c r="N39" s="171">
        <f>'MODEL&amp;SCHEDULE'!N84</f>
        <v>0.14595967128242671</v>
      </c>
    </row>
    <row r="40" spans="2:20" x14ac:dyDescent="0.3">
      <c r="C40" s="167" t="str">
        <f>'MODEL&amp;SCHEDULE'!C85</f>
        <v>Asset Turnover</v>
      </c>
      <c r="D40" s="167" t="str">
        <f>'MODEL&amp;SCHEDULE'!D85</f>
        <v>Multiple</v>
      </c>
      <c r="H40" s="204">
        <f>'MODEL&amp;SCHEDULE'!H85</f>
        <v>1.2750291763921302</v>
      </c>
      <c r="I40" s="204">
        <f>'MODEL&amp;SCHEDULE'!I85</f>
        <v>1.4101841067451317</v>
      </c>
      <c r="J40" s="204">
        <f>'MODEL&amp;SCHEDULE'!J85</f>
        <v>1.4492829269719818</v>
      </c>
      <c r="K40" s="204">
        <f>'MODEL&amp;SCHEDULE'!K85</f>
        <v>1.4881153776057288</v>
      </c>
      <c r="L40" s="204">
        <f>'MODEL&amp;SCHEDULE'!L85</f>
        <v>1.529424388547294</v>
      </c>
      <c r="M40" s="204">
        <f>'MODEL&amp;SCHEDULE'!M85</f>
        <v>1.5139156369700744</v>
      </c>
      <c r="N40" s="204">
        <f>'MODEL&amp;SCHEDULE'!N85</f>
        <v>1.4711131856637085</v>
      </c>
    </row>
    <row r="41" spans="2:20" x14ac:dyDescent="0.3">
      <c r="C41" s="167" t="str">
        <f>'MODEL&amp;SCHEDULE'!C86</f>
        <v>Financial leverage</v>
      </c>
      <c r="D41" s="167" t="str">
        <f>'MODEL&amp;SCHEDULE'!D86</f>
        <v>Multiple</v>
      </c>
      <c r="H41" s="204">
        <f>'MODEL&amp;SCHEDULE'!H86</f>
        <v>2.8283280775691853</v>
      </c>
      <c r="I41" s="204">
        <f>'MODEL&amp;SCHEDULE'!I86</f>
        <v>2.7689826864320466</v>
      </c>
      <c r="J41" s="204">
        <f>'MODEL&amp;SCHEDULE'!J86</f>
        <v>2.5783360751326967</v>
      </c>
      <c r="K41" s="204">
        <f>'MODEL&amp;SCHEDULE'!K86</f>
        <v>2.348754840451861</v>
      </c>
      <c r="L41" s="204">
        <f>'MODEL&amp;SCHEDULE'!L86</f>
        <v>2.142878027355251</v>
      </c>
      <c r="M41" s="204">
        <f>'MODEL&amp;SCHEDULE'!M86</f>
        <v>1.9904722225278531</v>
      </c>
      <c r="N41" s="204">
        <f>'MODEL&amp;SCHEDULE'!N86</f>
        <v>1.9020764976624194</v>
      </c>
    </row>
    <row r="43" spans="2:20" x14ac:dyDescent="0.3">
      <c r="C43" t="str">
        <f>'MODEL&amp;SCHEDULE'!C81</f>
        <v>Return on Asset</v>
      </c>
      <c r="D43" t="str">
        <f>'MODEL&amp;SCHEDULE'!D81</f>
        <v>%</v>
      </c>
      <c r="H43" s="61">
        <f>'MODEL&amp;SCHEDULE'!H81</f>
        <v>0.15482244081360436</v>
      </c>
      <c r="I43" s="61">
        <f>'MODEL&amp;SCHEDULE'!I81</f>
        <v>0.18245162344960061</v>
      </c>
      <c r="J43" s="61">
        <f>'MODEL&amp;SCHEDULE'!J81</f>
        <v>0.20969810645746237</v>
      </c>
      <c r="K43" s="61">
        <f>'MODEL&amp;SCHEDULE'!K81</f>
        <v>0.21534796895471647</v>
      </c>
      <c r="L43" s="61">
        <f>'MODEL&amp;SCHEDULE'!L81</f>
        <v>0.22253395460853029</v>
      </c>
      <c r="M43" s="61">
        <f>'MODEL&amp;SCHEDULE'!M81</f>
        <v>0.22022447129238765</v>
      </c>
      <c r="N43" s="61">
        <f>'MODEL&amp;SCHEDULE'!N81</f>
        <v>0.21472319699871845</v>
      </c>
    </row>
    <row r="46" spans="2:20" x14ac:dyDescent="0.3"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last="1" xr2:uid="{EBC0B244-797D-4F9E-B3E0-11DA52AAD5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SUMMARY!G8:N8</xm:f>
              <xm:sqref>E8</xm:sqref>
            </x14:sparkline>
            <x14:sparkline>
              <xm:f>SUMMARY!G9:N9</xm:f>
              <xm:sqref>E9</xm:sqref>
            </x14:sparkline>
            <x14:sparkline>
              <xm:f>SUMMARY!G10:N10</xm:f>
              <xm:sqref>E10</xm:sqref>
            </x14:sparkline>
            <x14:sparkline>
              <xm:f>SUMMARY!G11:N11</xm:f>
              <xm:sqref>E11</xm:sqref>
            </x14:sparkline>
            <x14:sparkline>
              <xm:f>SUMMARY!G12:N12</xm:f>
              <xm:sqref>E12</xm:sqref>
            </x14:sparkline>
            <x14:sparkline>
              <xm:f>SUMMARY!G13:N13</xm:f>
              <xm:sqref>E13</xm:sqref>
            </x14:sparkline>
            <x14:sparkline>
              <xm:f>SUMMARY!G14:N14</xm:f>
              <xm:sqref>E14</xm:sqref>
            </x14:sparkline>
            <x14:sparkline>
              <xm:f>SUMMARY!G15:N15</xm:f>
              <xm:sqref>E15</xm:sqref>
            </x14:sparkline>
            <x14:sparkline>
              <xm:f>SUMMARY!G16:N16</xm:f>
              <xm:sqref>E16</xm:sqref>
            </x14:sparkline>
            <x14:sparkline>
              <xm:f>SUMMARY!G17:N17</xm:f>
              <xm:sqref>E17</xm:sqref>
            </x14:sparkline>
            <x14:sparkline>
              <xm:f>SUMMARY!G18:N18</xm:f>
              <xm:sqref>E18</xm:sqref>
            </x14:sparkline>
            <x14:sparkline>
              <xm:f>SUMMARY!G19:N19</xm:f>
              <xm:sqref>E19</xm:sqref>
            </x14:sparkline>
            <x14:sparkline>
              <xm:f>SUMMARY!G20:N20</xm:f>
              <xm:sqref>E20</xm:sqref>
            </x14:sparkline>
            <x14:sparkline>
              <xm:f>SUMMARY!G21:N21</xm:f>
              <xm:sqref>E21</xm:sqref>
            </x14:sparkline>
            <x14:sparkline>
              <xm:f>SUMMARY!G22:N22</xm:f>
              <xm:sqref>E22</xm:sqref>
            </x14:sparkline>
            <x14:sparkline>
              <xm:f>SUMMARY!G23:N23</xm:f>
              <xm:sqref>E23</xm:sqref>
            </x14:sparkline>
            <x14:sparkline>
              <xm:f>SUMMARY!G24:N24</xm:f>
              <xm:sqref>E24</xm:sqref>
            </x14:sparkline>
            <x14:sparkline>
              <xm:f>SUMMARY!G25:N25</xm:f>
              <xm:sqref>E25</xm:sqref>
            </x14:sparkline>
            <x14:sparkline>
              <xm:f>SUMMARY!G26:N26</xm:f>
              <xm:sqref>E26</xm:sqref>
            </x14:sparkline>
            <x14:sparkline>
              <xm:f>SUMMARY!G27:N27</xm:f>
              <xm:sqref>E27</xm:sqref>
            </x14:sparkline>
            <x14:sparkline>
              <xm:f>SUMMARY!G28:N28</xm:f>
              <xm:sqref>E28</xm:sqref>
            </x14:sparkline>
            <x14:sparkline>
              <xm:f>SUMMARY!G29:N29</xm:f>
              <xm:sqref>E29</xm:sqref>
            </x14:sparkline>
            <x14:sparkline>
              <xm:f>SUMMARY!G30:N30</xm:f>
              <xm:sqref>E30</xm:sqref>
            </x14:sparkline>
            <x14:sparkline>
              <xm:f>SUMMARY!G31:N31</xm:f>
              <xm:sqref>E31</xm:sqref>
            </x14:sparkline>
            <x14:sparkline>
              <xm:f>SUMMARY!G32:N32</xm:f>
              <xm:sqref>E32</xm:sqref>
            </x14:sparkline>
            <x14:sparkline>
              <xm:f>SUMMARY!G33:N33</xm:f>
              <xm:sqref>E33</xm:sqref>
            </x14:sparkline>
            <x14:sparkline>
              <xm:f>SUMMARY!G34:N34</xm:f>
              <xm:sqref>E34</xm:sqref>
            </x14:sparkline>
            <x14:sparkline>
              <xm:f>SUMMARY!G35:N35</xm:f>
              <xm:sqref>E35</xm:sqref>
            </x14:sparkline>
            <x14:sparkline>
              <xm:f>SUMMARY!G36:N36</xm:f>
              <xm:sqref>E36</xm:sqref>
            </x14:sparkline>
            <x14:sparkline>
              <xm:f>SUMMARY!G37:N37</xm:f>
              <xm:sqref>E37</xm:sqref>
            </x14:sparkline>
            <x14:sparkline>
              <xm:f>SUMMARY!G38:N38</xm:f>
              <xm:sqref>E38</xm:sqref>
            </x14:sparkline>
            <x14:sparkline>
              <xm:f>SUMMARY!G39:N39</xm:f>
              <xm:sqref>E39</xm:sqref>
            </x14:sparkline>
            <x14:sparkline>
              <xm:f>SUMMARY!G40:N40</xm:f>
              <xm:sqref>E40</xm:sqref>
            </x14:sparkline>
            <x14:sparkline>
              <xm:f>SUMMARY!G41:N41</xm:f>
              <xm:sqref>E41</xm:sqref>
            </x14:sparkline>
            <x14:sparkline>
              <xm:f>SUMMARY!G42:N42</xm:f>
              <xm:sqref>E42</xm:sqref>
            </x14:sparkline>
            <x14:sparkline>
              <xm:f>SUMMARY!G43:N43</xm:f>
              <xm:sqref>E43</xm:sqref>
            </x14:sparkline>
            <x14:sparkline>
              <xm:f>SUMMARY!G44:N44</xm:f>
              <xm:sqref>E44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9C43-611B-4A35-80A7-450EE94E1919}">
  <sheetPr>
    <tabColor theme="6" tint="0.59999389629810485"/>
  </sheetPr>
  <dimension ref="A1:AR1558"/>
  <sheetViews>
    <sheetView showGridLines="0" zoomScale="91" zoomScaleNormal="232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20" sqref="K20"/>
    </sheetView>
  </sheetViews>
  <sheetFormatPr defaultRowHeight="14.4" x14ac:dyDescent="0.3"/>
  <cols>
    <col min="1" max="1" width="3.77734375" customWidth="1"/>
    <col min="2" max="2" width="4.5546875" customWidth="1"/>
    <col min="3" max="3" width="36.109375" customWidth="1"/>
    <col min="4" max="4" width="10.109375" customWidth="1"/>
    <col min="5" max="5" width="11.88671875" bestFit="1" customWidth="1"/>
    <col min="6" max="6" width="15.5546875" customWidth="1"/>
    <col min="7" max="14" width="11.88671875" bestFit="1" customWidth="1"/>
    <col min="16" max="16" width="8.88671875" customWidth="1"/>
    <col min="17" max="17" width="12.21875" bestFit="1" customWidth="1"/>
    <col min="18" max="18" width="11.109375" bestFit="1" customWidth="1"/>
  </cols>
  <sheetData>
    <row r="1" spans="1:25" ht="25.8" x14ac:dyDescent="0.5">
      <c r="A1" s="16"/>
      <c r="B1" s="16"/>
      <c r="C1" s="31" t="s">
        <v>93</v>
      </c>
      <c r="D1" s="16"/>
      <c r="E1" s="16"/>
      <c r="F1" s="16"/>
      <c r="G1" s="16"/>
      <c r="H1" s="16"/>
      <c r="I1" s="16"/>
      <c r="J1" s="16"/>
      <c r="K1" s="18" t="str">
        <f>SCENARIOS!K1</f>
        <v xml:space="preserve"> CURRENTLY RUNNING:   BULL / BEST CASE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x14ac:dyDescent="0.3">
      <c r="A2" s="16"/>
      <c r="B2" s="16"/>
      <c r="C2" s="16"/>
      <c r="D2" s="18"/>
      <c r="E2" s="16"/>
      <c r="F2" s="16"/>
      <c r="G2" s="16"/>
      <c r="H2" s="16"/>
      <c r="I2" s="16"/>
      <c r="J2" s="16"/>
      <c r="K2" s="16"/>
      <c r="L2" s="164" t="str">
        <f>COVER!B6</f>
        <v>NEXT PLC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x14ac:dyDescent="0.3">
      <c r="A3" s="16"/>
      <c r="B3" s="16"/>
      <c r="C3" s="17"/>
      <c r="D3" s="16"/>
      <c r="E3" s="16"/>
      <c r="F3" s="16"/>
      <c r="G3" s="16"/>
      <c r="H3" s="16"/>
      <c r="I3" s="16"/>
      <c r="J3" s="16"/>
      <c r="K3" s="16"/>
      <c r="L3" s="163" t="str">
        <f>'MODEL&amp;SCHEDULE'!M3</f>
        <v>Bal Check:  OK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x14ac:dyDescent="0.3">
      <c r="A4" s="16"/>
      <c r="B4" s="16"/>
      <c r="C4" s="16"/>
      <c r="D4" s="16"/>
      <c r="E4" s="118">
        <f>DATE(YEAR(F4)-1,MONTH(F4),DAY(F4))</f>
        <v>44592</v>
      </c>
      <c r="F4" s="118">
        <f>DATE(YEAR(G4)-1,MONTH(G4),DAY(G4))</f>
        <v>44957</v>
      </c>
      <c r="G4" s="118">
        <f>DATE(YEAR(H4)-1,MONTH(H4),DAY(H4))</f>
        <v>45322</v>
      </c>
      <c r="H4" s="118">
        <f>DATE(YEAR(I4)-1,MONTH(I4),DAY(I4))</f>
        <v>45688</v>
      </c>
      <c r="I4" s="118">
        <v>46053</v>
      </c>
      <c r="J4" s="118">
        <f>DATE(YEAR(I4)+1,MONTH(I4),DAY(I4))</f>
        <v>46418</v>
      </c>
      <c r="K4" s="118">
        <f>DATE(YEAR(J4)+1,MONTH(J4),DAY(J4))</f>
        <v>46783</v>
      </c>
      <c r="L4" s="118">
        <f>DATE(YEAR(K4)+1,MONTH(K4),DAY(K4))</f>
        <v>47149</v>
      </c>
      <c r="M4" s="118">
        <f>DATE(YEAR(L4)+1,MONTH(L4),DAY(L4))</f>
        <v>47514</v>
      </c>
      <c r="N4" s="118">
        <f>DATE(YEAR(M4)+1,MONTH(M4),DAY(M4))</f>
        <v>47879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x14ac:dyDescent="0.3">
      <c r="A5" s="16"/>
      <c r="B5" s="16"/>
      <c r="C5" s="16"/>
      <c r="D5" s="16"/>
      <c r="E5" s="19">
        <f>2022</f>
        <v>2022</v>
      </c>
      <c r="F5" s="19">
        <f>E5+1</f>
        <v>2023</v>
      </c>
      <c r="G5" s="19">
        <f>F5+1</f>
        <v>2024</v>
      </c>
      <c r="H5" s="19">
        <f>G5+1</f>
        <v>2025</v>
      </c>
      <c r="I5" s="19">
        <f>H5+1</f>
        <v>2026</v>
      </c>
      <c r="J5" s="19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0"/>
      <c r="W5" s="20"/>
      <c r="X5" s="16"/>
      <c r="Y5" s="16"/>
    </row>
    <row r="7" spans="1:25" x14ac:dyDescent="0.3">
      <c r="B7" s="2" t="s">
        <v>1321</v>
      </c>
    </row>
    <row r="8" spans="1:25" ht="28.8" x14ac:dyDescent="0.55000000000000004">
      <c r="C8" s="42" t="s">
        <v>71</v>
      </c>
    </row>
    <row r="9" spans="1:25" x14ac:dyDescent="0.3">
      <c r="B9" s="12" t="s">
        <v>114</v>
      </c>
    </row>
    <row r="10" spans="1:25" x14ac:dyDescent="0.3">
      <c r="C10" t="s">
        <v>138</v>
      </c>
      <c r="E10">
        <v>4376.5</v>
      </c>
      <c r="F10">
        <v>5034</v>
      </c>
      <c r="G10">
        <v>5491</v>
      </c>
      <c r="H10">
        <v>6118.1</v>
      </c>
      <c r="I10">
        <v>6901.3</v>
      </c>
      <c r="M10" s="40"/>
    </row>
    <row r="11" spans="1:25" x14ac:dyDescent="0.3">
      <c r="C11" t="s">
        <v>139</v>
      </c>
      <c r="E11">
        <v>249.4</v>
      </c>
      <c r="I11" s="2"/>
    </row>
    <row r="12" spans="1:25" x14ac:dyDescent="0.3">
      <c r="C12" s="2" t="s">
        <v>129</v>
      </c>
      <c r="E12" s="46">
        <f>E10+E11</f>
        <v>4625.8999999999996</v>
      </c>
      <c r="F12" s="46">
        <f>F10+F11</f>
        <v>5034</v>
      </c>
      <c r="G12" s="46">
        <f>G10+G11</f>
        <v>5491</v>
      </c>
      <c r="H12" s="46">
        <f>H10+H11</f>
        <v>6118.1</v>
      </c>
      <c r="I12" s="46">
        <f>I10+I11</f>
        <v>6901.3</v>
      </c>
      <c r="J12" s="2"/>
      <c r="L12" s="2"/>
      <c r="M12" s="2"/>
      <c r="O12" s="2"/>
      <c r="P12" s="2"/>
      <c r="R12" s="2"/>
    </row>
    <row r="13" spans="1:25" x14ac:dyDescent="0.3">
      <c r="C13" s="2" t="s">
        <v>115</v>
      </c>
      <c r="E13">
        <v>2625.3</v>
      </c>
      <c r="F13">
        <v>2827.7</v>
      </c>
      <c r="G13">
        <v>3034.5</v>
      </c>
      <c r="H13">
        <v>3456.5</v>
      </c>
      <c r="I13">
        <v>3847.5</v>
      </c>
    </row>
    <row r="14" spans="1:25" x14ac:dyDescent="0.3">
      <c r="C14" t="s">
        <v>140</v>
      </c>
      <c r="E14">
        <v>28.6</v>
      </c>
      <c r="F14">
        <v>31</v>
      </c>
      <c r="G14">
        <v>36</v>
      </c>
      <c r="H14">
        <v>19.399999999999999</v>
      </c>
      <c r="I14">
        <v>7.1</v>
      </c>
    </row>
    <row r="15" spans="1:25" x14ac:dyDescent="0.3">
      <c r="C15" s="2" t="s">
        <v>124</v>
      </c>
      <c r="E15" s="46">
        <f>E12-E13-E14</f>
        <v>1971.9999999999995</v>
      </c>
      <c r="F15" s="46">
        <f>F12-F13-F14</f>
        <v>2175.3000000000002</v>
      </c>
      <c r="G15" s="46">
        <f>G12-G13-G14</f>
        <v>2420.5</v>
      </c>
      <c r="H15" s="46">
        <f>H12-H13-H14</f>
        <v>2642.2000000000003</v>
      </c>
      <c r="I15" s="46">
        <f>I12-I13-I14</f>
        <v>3046.7000000000003</v>
      </c>
      <c r="J15" s="2"/>
      <c r="K15" s="2"/>
      <c r="L15" s="2"/>
      <c r="M15" s="2"/>
      <c r="N15" s="2"/>
      <c r="O15" s="2"/>
      <c r="P15" s="2"/>
      <c r="Q15" s="2"/>
      <c r="R15" s="2"/>
    </row>
    <row r="16" spans="1:25" x14ac:dyDescent="0.3">
      <c r="C16" s="2" t="s">
        <v>141</v>
      </c>
      <c r="E16">
        <v>693.7</v>
      </c>
      <c r="F16">
        <v>750</v>
      </c>
      <c r="G16">
        <v>794.1</v>
      </c>
      <c r="H16">
        <v>878.8</v>
      </c>
      <c r="I16">
        <v>1027.0999999999999</v>
      </c>
    </row>
    <row r="17" spans="3:18" x14ac:dyDescent="0.3">
      <c r="C17" t="s">
        <v>116</v>
      </c>
      <c r="E17">
        <v>380.2</v>
      </c>
      <c r="F17">
        <v>481.8</v>
      </c>
      <c r="G17">
        <v>657.7</v>
      </c>
      <c r="H17">
        <v>670.6</v>
      </c>
      <c r="I17">
        <v>742.4</v>
      </c>
    </row>
    <row r="18" spans="3:18" x14ac:dyDescent="0.3">
      <c r="C18" t="s">
        <v>296</v>
      </c>
      <c r="E18">
        <v>2.5</v>
      </c>
      <c r="F18">
        <v>-16.3</v>
      </c>
      <c r="G18">
        <v>12.3</v>
      </c>
      <c r="H18">
        <v>3.4</v>
      </c>
      <c r="I18">
        <v>-3.4</v>
      </c>
    </row>
    <row r="19" spans="3:18" x14ac:dyDescent="0.3">
      <c r="C19" s="2" t="s">
        <v>143</v>
      </c>
      <c r="E19" s="46">
        <f>E15-E16-E17+E18</f>
        <v>900.59999999999945</v>
      </c>
      <c r="F19" s="46">
        <f>F15-F16-F17+F18</f>
        <v>927.20000000000027</v>
      </c>
      <c r="G19" s="46">
        <f>G15-G16-G17+G18</f>
        <v>981</v>
      </c>
      <c r="H19" s="46">
        <f>H15-H16-H17+H18</f>
        <v>1096.2000000000003</v>
      </c>
      <c r="I19" s="46">
        <f>I15-I16-I17+I18</f>
        <v>1273.8000000000002</v>
      </c>
      <c r="J19" s="2"/>
      <c r="K19" s="2"/>
      <c r="L19" s="2"/>
      <c r="M19" s="2"/>
      <c r="N19" s="2"/>
      <c r="O19" s="2"/>
      <c r="P19" s="2"/>
      <c r="Q19" s="2"/>
      <c r="R19" s="2"/>
    </row>
    <row r="20" spans="3:18" x14ac:dyDescent="0.3">
      <c r="C20" t="s">
        <v>142</v>
      </c>
      <c r="E20">
        <v>4.8</v>
      </c>
      <c r="F20">
        <v>14.3</v>
      </c>
      <c r="G20">
        <v>6.9</v>
      </c>
      <c r="H20">
        <v>6.7</v>
      </c>
      <c r="I20">
        <v>7.9</v>
      </c>
    </row>
    <row r="21" spans="3:18" x14ac:dyDescent="0.3">
      <c r="C21" t="s">
        <v>164</v>
      </c>
      <c r="H21">
        <v>-13</v>
      </c>
      <c r="I21">
        <v>-2.9</v>
      </c>
    </row>
    <row r="22" spans="3:18" x14ac:dyDescent="0.3">
      <c r="C22" t="s">
        <v>165</v>
      </c>
      <c r="H22">
        <v>-14.5</v>
      </c>
    </row>
    <row r="23" spans="3:18" x14ac:dyDescent="0.3">
      <c r="C23" s="2" t="s">
        <v>117</v>
      </c>
      <c r="E23" s="46">
        <f>SUM(E19:E22)</f>
        <v>905.39999999999941</v>
      </c>
      <c r="F23" s="46">
        <f>SUM(F19:F22)</f>
        <v>941.50000000000023</v>
      </c>
      <c r="G23" s="46">
        <f>SUM(G19:G22)</f>
        <v>987.9</v>
      </c>
      <c r="H23" s="46">
        <f>SUM(H19:H22)</f>
        <v>1075.4000000000003</v>
      </c>
      <c r="I23" s="46">
        <f>SUM(I19:I22)</f>
        <v>1278.8000000000002</v>
      </c>
    </row>
    <row r="24" spans="3:18" x14ac:dyDescent="0.3">
      <c r="C24" t="s">
        <v>300</v>
      </c>
      <c r="G24">
        <v>108.6</v>
      </c>
      <c r="I24" s="2"/>
    </row>
    <row r="25" spans="3:18" x14ac:dyDescent="0.3">
      <c r="C25" t="s">
        <v>125</v>
      </c>
      <c r="E25">
        <v>4.2</v>
      </c>
      <c r="F25">
        <v>5.7</v>
      </c>
      <c r="G25">
        <v>6.8</v>
      </c>
      <c r="H25">
        <v>8.1999999999999993</v>
      </c>
      <c r="I25">
        <v>11</v>
      </c>
    </row>
    <row r="26" spans="3:18" x14ac:dyDescent="0.3">
      <c r="C26" t="s">
        <v>126</v>
      </c>
      <c r="E26">
        <v>-86.5</v>
      </c>
      <c r="F26">
        <v>-77.900000000000006</v>
      </c>
      <c r="G26">
        <v>-87.5</v>
      </c>
      <c r="H26">
        <v>-96.6</v>
      </c>
      <c r="I26">
        <v>-97.2</v>
      </c>
    </row>
    <row r="27" spans="3:18" x14ac:dyDescent="0.3">
      <c r="C27" s="2" t="s">
        <v>144</v>
      </c>
      <c r="E27" s="46">
        <f>SUM(E23:E26)</f>
        <v>823.09999999999945</v>
      </c>
      <c r="F27" s="46">
        <f>SUM(F23:F26)</f>
        <v>869.3000000000003</v>
      </c>
      <c r="G27" s="46">
        <f>SUM(G23:G26)</f>
        <v>1015.8</v>
      </c>
      <c r="H27" s="46">
        <f>SUM(H23:H26)</f>
        <v>987.00000000000034</v>
      </c>
      <c r="I27" s="46">
        <f>SUM(I23:I26)</f>
        <v>1192.6000000000001</v>
      </c>
      <c r="J27" s="2"/>
      <c r="L27" s="2"/>
      <c r="M27" s="2"/>
      <c r="N27" s="2"/>
      <c r="O27" s="2"/>
      <c r="P27" s="2"/>
      <c r="Q27" s="2"/>
      <c r="R27" s="2"/>
    </row>
    <row r="28" spans="3:18" x14ac:dyDescent="0.3">
      <c r="C28" t="s">
        <v>118</v>
      </c>
      <c r="E28">
        <v>-145.6</v>
      </c>
      <c r="F28">
        <v>-158.6</v>
      </c>
      <c r="G28">
        <v>-215.3</v>
      </c>
      <c r="H28">
        <v>-243.8</v>
      </c>
      <c r="I28">
        <v>-294.60000000000002</v>
      </c>
    </row>
    <row r="29" spans="3:18" x14ac:dyDescent="0.3">
      <c r="C29" s="41" t="s">
        <v>1319</v>
      </c>
      <c r="E29" s="47">
        <f>SUM(E27:E28)</f>
        <v>677.49999999999943</v>
      </c>
      <c r="F29" s="47">
        <f>SUM(F27:F28)</f>
        <v>710.70000000000027</v>
      </c>
      <c r="G29" s="47">
        <f>SUM(G27:G28)</f>
        <v>800.5</v>
      </c>
      <c r="H29" s="47">
        <f>SUM(H27:H28)</f>
        <v>743.20000000000027</v>
      </c>
      <c r="I29" s="47">
        <f>SUM(I27:I28)</f>
        <v>898.00000000000011</v>
      </c>
      <c r="J29" s="2"/>
      <c r="K29" s="2"/>
      <c r="L29" s="2"/>
      <c r="M29" s="2"/>
      <c r="N29" s="2"/>
      <c r="O29" s="2"/>
      <c r="P29" s="2"/>
      <c r="Q29" s="2"/>
      <c r="R29" s="2"/>
    </row>
    <row r="30" spans="3:18" x14ac:dyDescent="0.3">
      <c r="C30" s="4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3:18" x14ac:dyDescent="0.3">
      <c r="C31" s="4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3:18" x14ac:dyDescent="0.3">
      <c r="C32" s="41" t="s">
        <v>166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3:18" x14ac:dyDescent="0.3">
      <c r="C33" s="12" t="s">
        <v>167</v>
      </c>
      <c r="E33">
        <v>677.5</v>
      </c>
      <c r="F33">
        <v>711.7</v>
      </c>
      <c r="G33">
        <v>802.3</v>
      </c>
      <c r="H33">
        <v>736.1</v>
      </c>
      <c r="I33">
        <v>888.5</v>
      </c>
      <c r="J33" s="2"/>
      <c r="K33" s="2"/>
      <c r="L33" s="2"/>
      <c r="M33" s="2"/>
      <c r="N33" s="2"/>
      <c r="O33" s="2"/>
      <c r="P33" s="2"/>
      <c r="Q33" s="2"/>
      <c r="R33" s="2"/>
    </row>
    <row r="34" spans="3:18" x14ac:dyDescent="0.3">
      <c r="C34" s="12" t="s">
        <v>168</v>
      </c>
      <c r="F34">
        <v>-1</v>
      </c>
      <c r="G34">
        <v>-1.8</v>
      </c>
      <c r="H34">
        <v>7.1</v>
      </c>
      <c r="I34">
        <v>9.5</v>
      </c>
    </row>
    <row r="35" spans="3:18" x14ac:dyDescent="0.3">
      <c r="C35" s="12"/>
      <c r="E35" s="47">
        <f>SUM(E33:E34)</f>
        <v>677.5</v>
      </c>
      <c r="F35" s="47">
        <f>SUM(F33:F34)</f>
        <v>710.7</v>
      </c>
      <c r="G35" s="47">
        <f>SUM(G33:G34)</f>
        <v>800.5</v>
      </c>
      <c r="H35" s="47">
        <f>SUM(H33:H34)</f>
        <v>743.2</v>
      </c>
      <c r="I35" s="47">
        <f>SUM(I33:I34)</f>
        <v>898</v>
      </c>
    </row>
    <row r="36" spans="3:18" x14ac:dyDescent="0.3">
      <c r="C36" s="41" t="s">
        <v>146</v>
      </c>
    </row>
    <row r="37" spans="3:18" x14ac:dyDescent="0.3">
      <c r="C37" s="12" t="s">
        <v>119</v>
      </c>
      <c r="E37" t="s">
        <v>178</v>
      </c>
      <c r="F37" t="s">
        <v>175</v>
      </c>
      <c r="G37" t="s">
        <v>169</v>
      </c>
      <c r="H37" t="s">
        <v>172</v>
      </c>
      <c r="I37" t="s">
        <v>173</v>
      </c>
    </row>
    <row r="38" spans="3:18" x14ac:dyDescent="0.3">
      <c r="C38" s="12" t="s">
        <v>120</v>
      </c>
      <c r="E38" t="s">
        <v>177</v>
      </c>
      <c r="F38" t="s">
        <v>176</v>
      </c>
      <c r="G38" t="s">
        <v>170</v>
      </c>
      <c r="H38" t="s">
        <v>171</v>
      </c>
      <c r="I38" t="s">
        <v>174</v>
      </c>
    </row>
    <row r="39" spans="3:18" x14ac:dyDescent="0.3">
      <c r="C39" s="12"/>
    </row>
    <row r="40" spans="3:18" x14ac:dyDescent="0.3">
      <c r="C40" s="12"/>
    </row>
    <row r="41" spans="3:18" x14ac:dyDescent="0.3">
      <c r="C41" s="12"/>
    </row>
    <row r="42" spans="3:18" x14ac:dyDescent="0.3">
      <c r="C42" s="12"/>
    </row>
    <row r="43" spans="3:18" x14ac:dyDescent="0.3">
      <c r="C43" s="12"/>
    </row>
    <row r="44" spans="3:18" x14ac:dyDescent="0.3">
      <c r="C44" s="12"/>
    </row>
    <row r="45" spans="3:18" x14ac:dyDescent="0.3">
      <c r="C45" s="12"/>
    </row>
    <row r="46" spans="3:18" ht="47.4" x14ac:dyDescent="0.9">
      <c r="C46" s="49" t="s">
        <v>86</v>
      </c>
    </row>
    <row r="47" spans="3:18" ht="18" customHeight="1" x14ac:dyDescent="0.3">
      <c r="C47" s="2" t="s">
        <v>223</v>
      </c>
    </row>
    <row r="48" spans="3:18" ht="18.600000000000001" customHeight="1" x14ac:dyDescent="0.3">
      <c r="C48" t="s">
        <v>132</v>
      </c>
      <c r="E48">
        <v>905.4</v>
      </c>
      <c r="F48">
        <v>941.5</v>
      </c>
      <c r="G48">
        <v>987.9</v>
      </c>
      <c r="H48">
        <v>1075.4000000000001</v>
      </c>
      <c r="I48">
        <v>1278.8</v>
      </c>
    </row>
    <row r="49" spans="3:9" ht="17.399999999999999" customHeight="1" x14ac:dyDescent="0.3">
      <c r="C49" t="s">
        <v>224</v>
      </c>
      <c r="I49">
        <v>-16.3</v>
      </c>
    </row>
    <row r="50" spans="3:9" ht="17.399999999999999" customHeight="1" x14ac:dyDescent="0.3">
      <c r="C50" t="s">
        <v>225</v>
      </c>
      <c r="E50">
        <v>90.3</v>
      </c>
      <c r="F50">
        <v>80.599999999999994</v>
      </c>
      <c r="G50">
        <v>95.7</v>
      </c>
      <c r="H50">
        <v>117.9</v>
      </c>
      <c r="I50">
        <v>119.2</v>
      </c>
    </row>
    <row r="51" spans="3:9" ht="17.399999999999999" customHeight="1" x14ac:dyDescent="0.3">
      <c r="C51" t="s">
        <v>226</v>
      </c>
      <c r="E51">
        <v>112.6</v>
      </c>
      <c r="F51">
        <v>72.7</v>
      </c>
      <c r="G51">
        <v>111.8</v>
      </c>
      <c r="H51">
        <v>137.9</v>
      </c>
      <c r="I51">
        <v>156.4</v>
      </c>
    </row>
    <row r="52" spans="3:9" ht="17.399999999999999" customHeight="1" x14ac:dyDescent="0.3">
      <c r="C52" t="s">
        <v>227</v>
      </c>
      <c r="E52">
        <v>4.3</v>
      </c>
      <c r="F52">
        <v>12.5</v>
      </c>
      <c r="G52">
        <v>38.5</v>
      </c>
      <c r="H52">
        <v>55.2</v>
      </c>
      <c r="I52">
        <v>59.1</v>
      </c>
    </row>
    <row r="53" spans="3:9" ht="17.399999999999999" customHeight="1" x14ac:dyDescent="0.3">
      <c r="C53" t="s">
        <v>502</v>
      </c>
      <c r="F53">
        <v>1.1000000000000001</v>
      </c>
      <c r="G53">
        <v>0.8</v>
      </c>
      <c r="H53">
        <v>13.5</v>
      </c>
      <c r="I53">
        <v>5.6</v>
      </c>
    </row>
    <row r="54" spans="3:9" ht="17.399999999999999" customHeight="1" x14ac:dyDescent="0.3">
      <c r="C54" t="s">
        <v>228</v>
      </c>
      <c r="E54">
        <v>19.899999999999999</v>
      </c>
      <c r="F54">
        <v>24.3</v>
      </c>
      <c r="G54">
        <v>31.9</v>
      </c>
      <c r="H54">
        <v>40.9</v>
      </c>
      <c r="I54">
        <v>43.1</v>
      </c>
    </row>
    <row r="55" spans="3:9" ht="17.399999999999999" customHeight="1" x14ac:dyDescent="0.3">
      <c r="C55" t="s">
        <v>229</v>
      </c>
      <c r="E55">
        <v>-4.8</v>
      </c>
      <c r="F55">
        <v>-14.3</v>
      </c>
      <c r="G55">
        <v>-6.9</v>
      </c>
      <c r="H55">
        <v>-6.7</v>
      </c>
      <c r="I55">
        <v>-7.9</v>
      </c>
    </row>
    <row r="56" spans="3:9" ht="17.399999999999999" customHeight="1" x14ac:dyDescent="0.3">
      <c r="C56" t="s">
        <v>230</v>
      </c>
      <c r="E56">
        <v>-1.6</v>
      </c>
      <c r="F56">
        <v>-0.8</v>
      </c>
      <c r="G56">
        <v>-15.5</v>
      </c>
      <c r="H56">
        <v>-5.6</v>
      </c>
      <c r="I56">
        <v>5.5</v>
      </c>
    </row>
    <row r="57" spans="3:9" ht="20.399999999999999" customHeight="1" x14ac:dyDescent="0.3">
      <c r="C57" t="s">
        <v>231</v>
      </c>
      <c r="E57">
        <v>-96.5</v>
      </c>
      <c r="F57">
        <v>-22.8</v>
      </c>
      <c r="G57">
        <v>15.3</v>
      </c>
      <c r="H57">
        <v>-100.3</v>
      </c>
      <c r="I57">
        <v>-79.2</v>
      </c>
    </row>
    <row r="58" spans="3:9" ht="18.600000000000001" customHeight="1" x14ac:dyDescent="0.3">
      <c r="C58" t="s">
        <v>232</v>
      </c>
      <c r="E58">
        <v>-165.4</v>
      </c>
      <c r="F58">
        <v>-156.5</v>
      </c>
      <c r="G58">
        <v>3.7</v>
      </c>
      <c r="H58">
        <v>-52.3</v>
      </c>
      <c r="I58">
        <v>-153.69999999999999</v>
      </c>
    </row>
    <row r="59" spans="3:9" ht="15" customHeight="1" x14ac:dyDescent="0.3">
      <c r="C59" t="s">
        <v>233</v>
      </c>
      <c r="E59">
        <v>235.2</v>
      </c>
      <c r="F59">
        <v>12</v>
      </c>
      <c r="G59">
        <v>47.6</v>
      </c>
      <c r="H59">
        <v>93.2</v>
      </c>
      <c r="I59">
        <v>45.9</v>
      </c>
    </row>
    <row r="60" spans="3:9" x14ac:dyDescent="0.3">
      <c r="C60" t="s">
        <v>234</v>
      </c>
      <c r="E60">
        <v>-2.7</v>
      </c>
    </row>
    <row r="61" spans="3:9" x14ac:dyDescent="0.3">
      <c r="C61" t="s">
        <v>87</v>
      </c>
      <c r="G61">
        <v>2.8</v>
      </c>
      <c r="H61">
        <v>7.4</v>
      </c>
      <c r="I61">
        <v>10.199999999999999</v>
      </c>
    </row>
    <row r="62" spans="3:9" x14ac:dyDescent="0.3">
      <c r="C62" s="2" t="s">
        <v>530</v>
      </c>
      <c r="E62" s="46">
        <v>1096.7</v>
      </c>
      <c r="F62" s="46">
        <v>950.3</v>
      </c>
      <c r="G62" s="46">
        <v>1313.5999999999997</v>
      </c>
      <c r="H62" s="46">
        <v>1376.5000000000007</v>
      </c>
      <c r="I62" s="46">
        <v>1466.6999999999998</v>
      </c>
    </row>
    <row r="63" spans="3:9" x14ac:dyDescent="0.3">
      <c r="C63" s="12" t="s">
        <v>127</v>
      </c>
      <c r="E63">
        <v>-125.3</v>
      </c>
      <c r="F63">
        <v>-151.5</v>
      </c>
      <c r="G63">
        <v>-193.3</v>
      </c>
      <c r="H63">
        <v>-242.6</v>
      </c>
      <c r="I63">
        <v>-233.1</v>
      </c>
    </row>
    <row r="64" spans="3:9" x14ac:dyDescent="0.3">
      <c r="C64" s="2" t="s">
        <v>184</v>
      </c>
      <c r="E64" s="47">
        <f>SUM(E62:E63)</f>
        <v>971.40000000000009</v>
      </c>
      <c r="F64" s="47">
        <f>SUM(F62:F63)</f>
        <v>798.8</v>
      </c>
      <c r="G64" s="47">
        <f>SUM(G62:G63)</f>
        <v>1120.2999999999997</v>
      </c>
      <c r="H64" s="47">
        <f>SUM(H62:H63)</f>
        <v>1133.9000000000008</v>
      </c>
      <c r="I64" s="47">
        <f>SUM(I62:I63)</f>
        <v>1233.5999999999999</v>
      </c>
    </row>
    <row r="65" spans="3:9" x14ac:dyDescent="0.3">
      <c r="C65" s="41" t="s">
        <v>185</v>
      </c>
    </row>
    <row r="66" spans="3:9" x14ac:dyDescent="0.3">
      <c r="C66" s="12" t="s">
        <v>186</v>
      </c>
      <c r="E66">
        <v>-239.2</v>
      </c>
      <c r="F66">
        <v>-207.1</v>
      </c>
      <c r="G66">
        <v>-160.9</v>
      </c>
      <c r="H66">
        <v>-122.9</v>
      </c>
      <c r="I66">
        <v>-139.6</v>
      </c>
    </row>
    <row r="67" spans="3:9" x14ac:dyDescent="0.3">
      <c r="C67" t="s">
        <v>187</v>
      </c>
      <c r="E67">
        <v>-4.4000000000000004</v>
      </c>
      <c r="F67">
        <v>2</v>
      </c>
      <c r="G67">
        <v>23.9</v>
      </c>
      <c r="H67">
        <v>-6.4</v>
      </c>
      <c r="I67">
        <v>4.2</v>
      </c>
    </row>
    <row r="68" spans="3:9" x14ac:dyDescent="0.3">
      <c r="C68" t="s">
        <v>188</v>
      </c>
      <c r="E68" s="46">
        <f>SUM(E66:E67)</f>
        <v>-243.6</v>
      </c>
      <c r="F68" s="46">
        <f>SUM(F66:F67)</f>
        <v>-205.1</v>
      </c>
      <c r="G68" s="46">
        <f>SUM(G66:G67)</f>
        <v>-137</v>
      </c>
      <c r="H68" s="46">
        <f>SUM(H66:H67)</f>
        <v>-129.30000000000001</v>
      </c>
      <c r="I68" s="46">
        <f>SUM(I66:I67)</f>
        <v>-135.4</v>
      </c>
    </row>
    <row r="69" spans="3:9" x14ac:dyDescent="0.3">
      <c r="C69" t="s">
        <v>189</v>
      </c>
      <c r="E69">
        <v>3.4</v>
      </c>
      <c r="G69">
        <v>2</v>
      </c>
      <c r="H69">
        <v>2.6</v>
      </c>
      <c r="I69">
        <v>0.4</v>
      </c>
    </row>
    <row r="70" spans="3:9" x14ac:dyDescent="0.3">
      <c r="C70" t="s">
        <v>220</v>
      </c>
      <c r="E70">
        <v>15.5</v>
      </c>
      <c r="F70">
        <v>41.7</v>
      </c>
      <c r="G70">
        <v>3.3</v>
      </c>
      <c r="I70">
        <v>55.7</v>
      </c>
    </row>
    <row r="71" spans="3:9" x14ac:dyDescent="0.3">
      <c r="C71" s="12" t="s">
        <v>190</v>
      </c>
      <c r="E71">
        <v>-22.7</v>
      </c>
      <c r="F71">
        <v>-41</v>
      </c>
      <c r="G71">
        <v>-51.2</v>
      </c>
      <c r="H71">
        <v>-28.2</v>
      </c>
      <c r="I71">
        <v>-35.799999999999997</v>
      </c>
    </row>
    <row r="72" spans="3:9" x14ac:dyDescent="0.3">
      <c r="C72" s="12" t="s">
        <v>222</v>
      </c>
      <c r="E72">
        <v>-10.8</v>
      </c>
      <c r="F72">
        <v>11.3</v>
      </c>
      <c r="H72">
        <v>-0.9</v>
      </c>
      <c r="I72">
        <v>-4.8</v>
      </c>
    </row>
    <row r="73" spans="3:9" x14ac:dyDescent="0.3">
      <c r="C73" s="12" t="s">
        <v>217</v>
      </c>
      <c r="F73">
        <v>1.8</v>
      </c>
    </row>
    <row r="74" spans="3:9" x14ac:dyDescent="0.3">
      <c r="C74" s="12" t="s">
        <v>235</v>
      </c>
    </row>
    <row r="75" spans="3:9" x14ac:dyDescent="0.3">
      <c r="C75" s="12" t="s">
        <v>191</v>
      </c>
      <c r="F75">
        <v>-28.8</v>
      </c>
      <c r="G75">
        <v>-153.19999999999999</v>
      </c>
      <c r="H75">
        <v>-24.2</v>
      </c>
    </row>
    <row r="76" spans="3:9" x14ac:dyDescent="0.3">
      <c r="C76" s="12" t="s">
        <v>192</v>
      </c>
      <c r="E76">
        <v>-34.299999999999997</v>
      </c>
      <c r="F76">
        <v>-64.7</v>
      </c>
      <c r="G76">
        <v>-0.9</v>
      </c>
      <c r="H76">
        <v>-1.2</v>
      </c>
    </row>
    <row r="77" spans="3:9" x14ac:dyDescent="0.3">
      <c r="C77" s="12" t="s">
        <v>218</v>
      </c>
      <c r="F77">
        <v>-1.9</v>
      </c>
    </row>
    <row r="78" spans="3:9" x14ac:dyDescent="0.3">
      <c r="C78" s="12" t="s">
        <v>193</v>
      </c>
      <c r="F78">
        <v>9.8000000000000007</v>
      </c>
      <c r="G78">
        <v>2.6</v>
      </c>
    </row>
    <row r="79" spans="3:9" x14ac:dyDescent="0.3">
      <c r="C79" s="12" t="s">
        <v>219</v>
      </c>
      <c r="F79">
        <v>5.5</v>
      </c>
    </row>
    <row r="80" spans="3:9" x14ac:dyDescent="0.3">
      <c r="C80" s="41" t="s">
        <v>194</v>
      </c>
      <c r="E80" s="47">
        <f>SUM(E68:E78)</f>
        <v>-292.5</v>
      </c>
      <c r="F80" s="47">
        <f>SUM(F68:F78)</f>
        <v>-276.89999999999992</v>
      </c>
      <c r="G80" s="47">
        <f>SUM(G68:G78)</f>
        <v>-334.39999999999992</v>
      </c>
      <c r="H80" s="47">
        <f>SUM(H68:H78)</f>
        <v>-181.2</v>
      </c>
      <c r="I80" s="47">
        <f>SUM(I68:I78)</f>
        <v>-119.89999999999999</v>
      </c>
    </row>
    <row r="81" spans="3:9" x14ac:dyDescent="0.3">
      <c r="C81" s="41" t="s">
        <v>195</v>
      </c>
    </row>
    <row r="82" spans="3:9" x14ac:dyDescent="0.3">
      <c r="C82" s="12" t="s">
        <v>196</v>
      </c>
      <c r="D82" s="12"/>
      <c r="E82">
        <v>-8.6999999999999993</v>
      </c>
      <c r="F82">
        <v>-228.5</v>
      </c>
      <c r="G82">
        <v>-177.3</v>
      </c>
      <c r="H82">
        <v>-360.2</v>
      </c>
      <c r="I82">
        <v>-131.4</v>
      </c>
    </row>
    <row r="83" spans="3:9" x14ac:dyDescent="0.3">
      <c r="C83" s="12" t="s">
        <v>197</v>
      </c>
      <c r="D83" s="12"/>
      <c r="E83">
        <v>-151.30000000000001</v>
      </c>
      <c r="F83">
        <v>-124</v>
      </c>
      <c r="G83">
        <v>-116.3</v>
      </c>
      <c r="H83">
        <v>-126.8</v>
      </c>
      <c r="I83">
        <v>-169</v>
      </c>
    </row>
    <row r="84" spans="3:9" x14ac:dyDescent="0.3">
      <c r="C84" s="12" t="s">
        <v>198</v>
      </c>
      <c r="E84">
        <v>72.5</v>
      </c>
      <c r="F84">
        <v>34.299999999999997</v>
      </c>
      <c r="G84">
        <v>97.8</v>
      </c>
      <c r="H84">
        <v>77</v>
      </c>
      <c r="I84">
        <v>107.2</v>
      </c>
    </row>
    <row r="85" spans="3:9" x14ac:dyDescent="0.3">
      <c r="C85" s="12" t="s">
        <v>199</v>
      </c>
      <c r="D85" s="12"/>
      <c r="H85">
        <v>-5</v>
      </c>
      <c r="I85">
        <v>-1.5</v>
      </c>
    </row>
    <row r="86" spans="3:9" x14ac:dyDescent="0.3">
      <c r="C86" s="12" t="s">
        <v>212</v>
      </c>
      <c r="H86">
        <v>0.5</v>
      </c>
    </row>
    <row r="87" spans="3:9" x14ac:dyDescent="0.3">
      <c r="C87" s="12" t="s">
        <v>211</v>
      </c>
      <c r="G87">
        <v>-2.5</v>
      </c>
      <c r="H87">
        <v>-2.4</v>
      </c>
      <c r="I87">
        <v>-31.5</v>
      </c>
    </row>
    <row r="88" spans="3:9" x14ac:dyDescent="0.3">
      <c r="C88" s="12" t="s">
        <v>210</v>
      </c>
      <c r="I88">
        <v>60</v>
      </c>
    </row>
    <row r="89" spans="3:9" x14ac:dyDescent="0.3">
      <c r="C89" s="12" t="s">
        <v>200</v>
      </c>
      <c r="E89">
        <v>11.9</v>
      </c>
      <c r="F89">
        <v>0.1</v>
      </c>
      <c r="H89">
        <v>1</v>
      </c>
      <c r="I89">
        <v>0.7</v>
      </c>
    </row>
    <row r="90" spans="3:9" x14ac:dyDescent="0.3">
      <c r="C90" s="12" t="s">
        <v>201</v>
      </c>
      <c r="D90" s="12"/>
      <c r="E90">
        <v>-172.3</v>
      </c>
      <c r="F90">
        <v>-157.1</v>
      </c>
      <c r="G90">
        <v>-156.1</v>
      </c>
      <c r="H90">
        <v>-164.6</v>
      </c>
      <c r="I90">
        <v>-167.4</v>
      </c>
    </row>
    <row r="91" spans="3:9" x14ac:dyDescent="0.3">
      <c r="C91" s="12" t="s">
        <v>202</v>
      </c>
      <c r="E91">
        <v>-91.1</v>
      </c>
      <c r="F91">
        <v>-74.099999999999994</v>
      </c>
      <c r="G91">
        <v>-79.2</v>
      </c>
      <c r="H91">
        <v>-93.3</v>
      </c>
      <c r="I91">
        <v>-94.1</v>
      </c>
    </row>
    <row r="92" spans="3:9" x14ac:dyDescent="0.3">
      <c r="C92" s="12" t="s">
        <v>87</v>
      </c>
      <c r="E92">
        <v>0.8</v>
      </c>
      <c r="F92">
        <v>0.3</v>
      </c>
    </row>
    <row r="93" spans="3:9" x14ac:dyDescent="0.3">
      <c r="C93" s="12" t="s">
        <v>213</v>
      </c>
      <c r="D93" s="12"/>
      <c r="E93">
        <v>-325</v>
      </c>
      <c r="I93">
        <v>-386.4</v>
      </c>
    </row>
    <row r="94" spans="3:9" x14ac:dyDescent="0.3">
      <c r="C94" s="12" t="s">
        <v>214</v>
      </c>
      <c r="I94">
        <v>298.39999999999998</v>
      </c>
    </row>
    <row r="95" spans="3:9" x14ac:dyDescent="0.3">
      <c r="C95" s="12" t="s">
        <v>215</v>
      </c>
      <c r="I95">
        <v>-421.5</v>
      </c>
    </row>
    <row r="96" spans="3:9" x14ac:dyDescent="0.3">
      <c r="C96" s="12" t="s">
        <v>221</v>
      </c>
      <c r="E96">
        <v>14.3</v>
      </c>
      <c r="F96">
        <v>59.3</v>
      </c>
      <c r="G96">
        <v>18.600000000000001</v>
      </c>
    </row>
    <row r="97" spans="3:15" x14ac:dyDescent="0.3">
      <c r="C97" s="12" t="s">
        <v>203</v>
      </c>
      <c r="E97">
        <v>-344.5</v>
      </c>
      <c r="F97">
        <v>-237.4</v>
      </c>
      <c r="G97">
        <v>-248.3</v>
      </c>
      <c r="H97">
        <v>-257.8</v>
      </c>
      <c r="I97">
        <v>-286.5</v>
      </c>
      <c r="L97" s="2"/>
      <c r="O97" s="2"/>
    </row>
    <row r="98" spans="3:15" x14ac:dyDescent="0.3">
      <c r="C98" s="12" t="s">
        <v>204</v>
      </c>
      <c r="E98" t="s">
        <v>236</v>
      </c>
      <c r="H98">
        <v>-8</v>
      </c>
      <c r="I98">
        <v>-2</v>
      </c>
      <c r="L98" s="2"/>
      <c r="O98" s="2"/>
    </row>
    <row r="99" spans="3:15" x14ac:dyDescent="0.3">
      <c r="C99" s="41" t="s">
        <v>205</v>
      </c>
      <c r="E99" s="57">
        <f>SUM(E82:E98)</f>
        <v>-993.40000000000009</v>
      </c>
      <c r="F99" s="57">
        <f>SUM(F82:F98)</f>
        <v>-727.1</v>
      </c>
      <c r="G99" s="57">
        <f>SUM(G82:G98)</f>
        <v>-663.3</v>
      </c>
      <c r="H99" s="57">
        <f>SUM(H82:H98)</f>
        <v>-939.59999999999991</v>
      </c>
      <c r="I99" s="57">
        <f>SUM(I82:I98)</f>
        <v>-1225</v>
      </c>
    </row>
    <row r="100" spans="3:15" x14ac:dyDescent="0.3">
      <c r="C100" s="41" t="s">
        <v>216</v>
      </c>
      <c r="E100" s="56">
        <f>E99+E80+E64</f>
        <v>-314.5</v>
      </c>
      <c r="F100" s="56">
        <f>F99+F80+F64</f>
        <v>-205.20000000000005</v>
      </c>
      <c r="G100" s="56">
        <f>G99+G80+G64</f>
        <v>122.59999999999991</v>
      </c>
      <c r="H100" s="56">
        <f>H99+H80+H64</f>
        <v>13.100000000000819</v>
      </c>
      <c r="I100" s="56">
        <f>I99+I80+I64</f>
        <v>-111.30000000000018</v>
      </c>
    </row>
    <row r="101" spans="3:15" x14ac:dyDescent="0.3">
      <c r="C101" s="12" t="s">
        <v>209</v>
      </c>
      <c r="E101">
        <v>514.79999999999995</v>
      </c>
      <c r="F101">
        <v>199.9</v>
      </c>
      <c r="G101">
        <v>2.7</v>
      </c>
      <c r="H101">
        <v>124.3</v>
      </c>
      <c r="I101">
        <v>171.3</v>
      </c>
    </row>
    <row r="102" spans="3:15" x14ac:dyDescent="0.3">
      <c r="C102" s="12" t="s">
        <v>206</v>
      </c>
      <c r="H102">
        <v>33.9</v>
      </c>
    </row>
    <row r="103" spans="3:15" x14ac:dyDescent="0.3">
      <c r="C103" s="12" t="s">
        <v>207</v>
      </c>
      <c r="E103">
        <v>-0.4</v>
      </c>
      <c r="F103">
        <v>2.5</v>
      </c>
      <c r="G103">
        <v>-1</v>
      </c>
      <c r="I103">
        <v>0.2</v>
      </c>
    </row>
    <row r="104" spans="3:15" x14ac:dyDescent="0.3">
      <c r="C104" s="41" t="s">
        <v>208</v>
      </c>
      <c r="E104" s="47">
        <f>SUM(E100:E103)</f>
        <v>199.89999999999995</v>
      </c>
      <c r="F104" s="47">
        <f>SUM(F100:F103)</f>
        <v>-2.8000000000000398</v>
      </c>
      <c r="G104" s="47">
        <f>SUM(G100:G103)</f>
        <v>124.29999999999991</v>
      </c>
      <c r="H104" s="47">
        <f>SUM(H100:H103)</f>
        <v>171.30000000000084</v>
      </c>
      <c r="I104" s="47">
        <f>SUM(I100:I103)</f>
        <v>60.199999999999832</v>
      </c>
    </row>
    <row r="107" spans="3:15" ht="36.6" x14ac:dyDescent="0.7">
      <c r="C107" s="43" t="s">
        <v>72</v>
      </c>
    </row>
    <row r="108" spans="3:15" x14ac:dyDescent="0.3">
      <c r="D108" s="2"/>
    </row>
    <row r="111" spans="3:15" x14ac:dyDescent="0.3">
      <c r="C111" s="41" t="s">
        <v>73</v>
      </c>
    </row>
    <row r="112" spans="3:15" x14ac:dyDescent="0.3">
      <c r="C112" s="12" t="s">
        <v>121</v>
      </c>
      <c r="E112">
        <v>601.1</v>
      </c>
      <c r="F112">
        <v>644.79999999999995</v>
      </c>
      <c r="G112">
        <v>687.5</v>
      </c>
      <c r="H112">
        <v>686.4</v>
      </c>
      <c r="I112">
        <v>667.7</v>
      </c>
      <c r="L112" s="40"/>
    </row>
    <row r="113" spans="3:15" x14ac:dyDescent="0.3">
      <c r="C113" s="12" t="s">
        <v>147</v>
      </c>
      <c r="E113">
        <v>79.3</v>
      </c>
      <c r="F113">
        <v>137.1</v>
      </c>
      <c r="G113">
        <v>757.2</v>
      </c>
      <c r="H113">
        <v>735.4</v>
      </c>
      <c r="I113">
        <v>713.7</v>
      </c>
      <c r="L113" s="40"/>
    </row>
    <row r="114" spans="3:15" x14ac:dyDescent="0.3">
      <c r="C114" s="12" t="s">
        <v>122</v>
      </c>
      <c r="E114">
        <v>639.1</v>
      </c>
      <c r="F114">
        <v>662</v>
      </c>
      <c r="G114">
        <v>734.6</v>
      </c>
      <c r="H114">
        <v>737.3</v>
      </c>
      <c r="I114">
        <v>733.1</v>
      </c>
    </row>
    <row r="115" spans="3:15" x14ac:dyDescent="0.3">
      <c r="C115" s="12" t="s">
        <v>148</v>
      </c>
      <c r="E115">
        <v>46.2</v>
      </c>
      <c r="F115">
        <v>114.6</v>
      </c>
      <c r="G115">
        <v>38</v>
      </c>
      <c r="H115">
        <v>32.700000000000003</v>
      </c>
      <c r="I115">
        <v>35.200000000000003</v>
      </c>
    </row>
    <row r="116" spans="3:15" x14ac:dyDescent="0.3">
      <c r="C116" s="12" t="s">
        <v>149</v>
      </c>
      <c r="E116">
        <v>156.9</v>
      </c>
      <c r="F116">
        <v>157.5</v>
      </c>
      <c r="G116">
        <v>59.3</v>
      </c>
      <c r="H116">
        <v>30.8</v>
      </c>
      <c r="I116">
        <v>23</v>
      </c>
    </row>
    <row r="117" spans="3:15" x14ac:dyDescent="0.3">
      <c r="C117" s="12" t="s">
        <v>150</v>
      </c>
      <c r="E117">
        <v>18</v>
      </c>
      <c r="I117">
        <v>0.2</v>
      </c>
    </row>
    <row r="118" spans="3:15" x14ac:dyDescent="0.3">
      <c r="C118" s="12" t="s">
        <v>74</v>
      </c>
      <c r="E118">
        <v>34</v>
      </c>
      <c r="F118">
        <v>33.299999999999997</v>
      </c>
    </row>
    <row r="119" spans="3:15" x14ac:dyDescent="0.3">
      <c r="C119" s="41" t="s">
        <v>75</v>
      </c>
      <c r="E119" s="47">
        <f>SUM(E112:E118)</f>
        <v>1574.6000000000001</v>
      </c>
      <c r="F119" s="47">
        <f>SUM(F112:F118)</f>
        <v>1749.3</v>
      </c>
      <c r="G119" s="47">
        <f>SUM(G112:G118)</f>
        <v>2276.6000000000004</v>
      </c>
      <c r="H119" s="47">
        <f>SUM(H112:H118)</f>
        <v>2222.6</v>
      </c>
      <c r="I119" s="47">
        <f>SUM(I112:I118)</f>
        <v>2172.8999999999996</v>
      </c>
      <c r="L119" s="2"/>
      <c r="O119" s="2"/>
    </row>
    <row r="121" spans="3:15" x14ac:dyDescent="0.3">
      <c r="C121" s="12"/>
    </row>
    <row r="122" spans="3:15" x14ac:dyDescent="0.3">
      <c r="C122" s="41" t="s">
        <v>76</v>
      </c>
    </row>
    <row r="123" spans="3:15" x14ac:dyDescent="0.3">
      <c r="C123" s="12" t="s">
        <v>77</v>
      </c>
      <c r="E123">
        <v>633</v>
      </c>
      <c r="F123">
        <v>662.2</v>
      </c>
      <c r="G123">
        <v>769</v>
      </c>
      <c r="H123">
        <v>865.2</v>
      </c>
      <c r="I123">
        <v>949.5</v>
      </c>
    </row>
    <row r="124" spans="3:15" x14ac:dyDescent="0.3">
      <c r="C124" s="12" t="s">
        <v>151</v>
      </c>
      <c r="E124">
        <v>1280.9000000000001</v>
      </c>
      <c r="F124">
        <v>1425.5</v>
      </c>
      <c r="G124">
        <v>1452.8</v>
      </c>
      <c r="H124">
        <v>1508.4</v>
      </c>
      <c r="I124">
        <v>1660.6</v>
      </c>
    </row>
    <row r="125" spans="3:15" x14ac:dyDescent="0.3">
      <c r="C125" s="12" t="s">
        <v>152</v>
      </c>
      <c r="E125">
        <v>24.8</v>
      </c>
      <c r="F125">
        <v>32.700000000000003</v>
      </c>
      <c r="G125">
        <v>30.7</v>
      </c>
      <c r="H125">
        <v>34.799999999999997</v>
      </c>
      <c r="I125">
        <v>29.7</v>
      </c>
    </row>
    <row r="126" spans="3:15" x14ac:dyDescent="0.3">
      <c r="C126" s="12" t="s">
        <v>150</v>
      </c>
      <c r="E126">
        <v>35.5</v>
      </c>
      <c r="F126">
        <v>9.1</v>
      </c>
      <c r="G126">
        <v>6.9</v>
      </c>
      <c r="H126">
        <v>31.8</v>
      </c>
      <c r="I126">
        <v>6.4</v>
      </c>
    </row>
    <row r="127" spans="3:15" x14ac:dyDescent="0.3">
      <c r="C127" s="12" t="s">
        <v>460</v>
      </c>
      <c r="H127">
        <v>9.3000000000000007</v>
      </c>
    </row>
    <row r="128" spans="3:15" x14ac:dyDescent="0.3">
      <c r="C128" s="12" t="s">
        <v>153</v>
      </c>
      <c r="E128">
        <v>433</v>
      </c>
      <c r="F128">
        <v>105</v>
      </c>
      <c r="G128">
        <v>188.3</v>
      </c>
      <c r="H128">
        <v>200.4</v>
      </c>
      <c r="I128">
        <v>96.2</v>
      </c>
    </row>
    <row r="129" spans="3:15" x14ac:dyDescent="0.3">
      <c r="C129" s="41" t="s">
        <v>78</v>
      </c>
      <c r="E129" s="47">
        <f>SUM(E123:E128)</f>
        <v>2407.1999999999998</v>
      </c>
      <c r="F129" s="47">
        <f>SUM(F123:F128)</f>
        <v>2234.4999999999995</v>
      </c>
      <c r="G129" s="47">
        <f>SUM(G123:G128)</f>
        <v>2447.7000000000003</v>
      </c>
      <c r="H129" s="47">
        <f>SUM(H123:H128)</f>
        <v>2649.900000000001</v>
      </c>
      <c r="I129" s="47">
        <f>SUM(I123:I128)</f>
        <v>2742.3999999999996</v>
      </c>
      <c r="L129" s="2"/>
      <c r="O129" s="2"/>
    </row>
    <row r="131" spans="3:15" x14ac:dyDescent="0.3">
      <c r="C131" s="41" t="s">
        <v>154</v>
      </c>
      <c r="E131" s="2">
        <f>E129+E119</f>
        <v>3981.8</v>
      </c>
      <c r="F131" s="2">
        <f>F129+F119</f>
        <v>3983.7999999999993</v>
      </c>
      <c r="G131" s="2">
        <f>G129+G119</f>
        <v>4724.3000000000011</v>
      </c>
      <c r="H131" s="2">
        <f>H129+H119</f>
        <v>4872.5000000000009</v>
      </c>
      <c r="I131" s="2">
        <f>I129+I119</f>
        <v>4915.2999999999993</v>
      </c>
    </row>
    <row r="132" spans="3:15" x14ac:dyDescent="0.3">
      <c r="C132" s="12"/>
    </row>
    <row r="133" spans="3:15" x14ac:dyDescent="0.3">
      <c r="C133" s="41" t="s">
        <v>80</v>
      </c>
    </row>
    <row r="134" spans="3:15" x14ac:dyDescent="0.3">
      <c r="C134" s="12" t="s">
        <v>155</v>
      </c>
      <c r="E134">
        <v>233.1</v>
      </c>
      <c r="F134">
        <v>102.3</v>
      </c>
      <c r="G134">
        <v>58.7</v>
      </c>
      <c r="H134">
        <v>60.6</v>
      </c>
      <c r="I134">
        <v>96</v>
      </c>
    </row>
    <row r="135" spans="3:15" x14ac:dyDescent="0.3">
      <c r="C135" s="12" t="s">
        <v>156</v>
      </c>
      <c r="H135">
        <v>250</v>
      </c>
      <c r="I135">
        <v>112.9</v>
      </c>
    </row>
    <row r="136" spans="3:15" x14ac:dyDescent="0.3">
      <c r="C136" s="12" t="s">
        <v>157</v>
      </c>
      <c r="E136">
        <v>798.4</v>
      </c>
      <c r="F136">
        <v>791.1</v>
      </c>
      <c r="G136">
        <v>991.8</v>
      </c>
      <c r="H136">
        <v>1076.7</v>
      </c>
      <c r="I136">
        <v>1132.4000000000001</v>
      </c>
    </row>
    <row r="137" spans="3:15" x14ac:dyDescent="0.3">
      <c r="C137" s="12" t="s">
        <v>158</v>
      </c>
      <c r="E137">
        <v>162.6</v>
      </c>
      <c r="F137">
        <v>146.19999999999999</v>
      </c>
      <c r="G137">
        <v>167.8</v>
      </c>
      <c r="H137">
        <v>170.8</v>
      </c>
      <c r="I137">
        <v>168.1</v>
      </c>
    </row>
    <row r="138" spans="3:15" x14ac:dyDescent="0.3">
      <c r="C138" s="13" t="s">
        <v>159</v>
      </c>
      <c r="E138">
        <v>1</v>
      </c>
      <c r="F138">
        <v>40.799999999999997</v>
      </c>
      <c r="G138">
        <v>18.8</v>
      </c>
      <c r="H138">
        <v>8.3000000000000007</v>
      </c>
      <c r="I138">
        <v>35.5</v>
      </c>
    </row>
    <row r="139" spans="3:15" x14ac:dyDescent="0.3">
      <c r="C139" s="12" t="s">
        <v>81</v>
      </c>
      <c r="E139">
        <v>13</v>
      </c>
      <c r="F139">
        <v>12.9</v>
      </c>
      <c r="G139">
        <v>8.6</v>
      </c>
      <c r="I139">
        <v>9.1999999999999993</v>
      </c>
    </row>
    <row r="140" spans="3:15" x14ac:dyDescent="0.3">
      <c r="C140" s="41" t="s">
        <v>163</v>
      </c>
      <c r="E140" s="47">
        <f>SUM(E134:E139)</f>
        <v>1208.0999999999999</v>
      </c>
      <c r="F140" s="47">
        <f>SUM(F134:F139)</f>
        <v>1093.3</v>
      </c>
      <c r="G140" s="47">
        <f>SUM(G134:G139)</f>
        <v>1245.6999999999998</v>
      </c>
      <c r="H140" s="47">
        <f>SUM(H134:H139)</f>
        <v>1566.4</v>
      </c>
      <c r="I140" s="47">
        <f>SUM(I134:I139)</f>
        <v>1554.1000000000001</v>
      </c>
      <c r="L140" s="2"/>
      <c r="O140" s="2"/>
    </row>
    <row r="141" spans="3:15" x14ac:dyDescent="0.3">
      <c r="C141" s="41"/>
      <c r="E141" s="48"/>
      <c r="F141" s="46"/>
      <c r="G141" s="48"/>
      <c r="H141" s="48"/>
      <c r="I141" s="2"/>
      <c r="L141" s="2"/>
      <c r="O141" s="2"/>
    </row>
    <row r="143" spans="3:15" x14ac:dyDescent="0.3">
      <c r="C143" s="41" t="s">
        <v>79</v>
      </c>
    </row>
    <row r="144" spans="3:15" x14ac:dyDescent="0.3">
      <c r="C144" s="12" t="s">
        <v>181</v>
      </c>
      <c r="G144">
        <v>29.5</v>
      </c>
    </row>
    <row r="145" spans="3:15" x14ac:dyDescent="0.3">
      <c r="C145" s="12" t="s">
        <v>156</v>
      </c>
      <c r="E145">
        <v>815.7</v>
      </c>
      <c r="F145">
        <v>790.7</v>
      </c>
      <c r="G145">
        <v>790.8</v>
      </c>
      <c r="H145">
        <v>543.79999999999995</v>
      </c>
      <c r="I145">
        <v>600</v>
      </c>
    </row>
    <row r="146" spans="3:15" x14ac:dyDescent="0.3">
      <c r="C146" s="12" t="s">
        <v>160</v>
      </c>
      <c r="E146">
        <v>21.9</v>
      </c>
      <c r="F146">
        <v>33.799999999999997</v>
      </c>
      <c r="G146">
        <v>52.4</v>
      </c>
      <c r="H146">
        <v>55.7</v>
      </c>
      <c r="I146">
        <v>58.5</v>
      </c>
    </row>
    <row r="147" spans="3:15" x14ac:dyDescent="0.3">
      <c r="C147" s="12" t="s">
        <v>161</v>
      </c>
      <c r="E147">
        <v>894.9</v>
      </c>
      <c r="F147">
        <v>877.1</v>
      </c>
      <c r="G147">
        <v>869.9</v>
      </c>
      <c r="H147">
        <v>843.6</v>
      </c>
      <c r="I147">
        <v>831.7</v>
      </c>
    </row>
    <row r="148" spans="3:15" x14ac:dyDescent="0.3">
      <c r="C148" s="13" t="s">
        <v>159</v>
      </c>
      <c r="F148">
        <v>9.5</v>
      </c>
      <c r="G148">
        <v>37.4</v>
      </c>
      <c r="H148">
        <v>39.1</v>
      </c>
      <c r="I148">
        <v>38.200000000000003</v>
      </c>
    </row>
    <row r="149" spans="3:15" x14ac:dyDescent="0.3">
      <c r="C149" s="12" t="s">
        <v>162</v>
      </c>
      <c r="E149">
        <v>31.2</v>
      </c>
      <c r="F149">
        <v>14.3</v>
      </c>
      <c r="G149">
        <v>11.7</v>
      </c>
      <c r="H149">
        <v>11.5</v>
      </c>
      <c r="I149">
        <v>17.600000000000001</v>
      </c>
    </row>
    <row r="150" spans="3:15" x14ac:dyDescent="0.3">
      <c r="C150" s="12" t="s">
        <v>182</v>
      </c>
      <c r="G150">
        <v>48.1</v>
      </c>
      <c r="H150">
        <v>58.1</v>
      </c>
      <c r="I150">
        <v>34.700000000000003</v>
      </c>
    </row>
    <row r="151" spans="3:15" x14ac:dyDescent="0.3">
      <c r="C151" s="41" t="s">
        <v>500</v>
      </c>
      <c r="E151" s="47">
        <f>SUM(E144:E150)</f>
        <v>1763.7</v>
      </c>
      <c r="F151" s="47">
        <f>SUM(F144:F150)</f>
        <v>1725.3999999999999</v>
      </c>
      <c r="G151" s="47">
        <f>SUM(G144:G150)</f>
        <v>1839.8</v>
      </c>
      <c r="H151" s="47">
        <f>SUM(H144:H150)</f>
        <v>1551.7999999999997</v>
      </c>
      <c r="I151" s="47">
        <f>SUM(I144:I150)</f>
        <v>1580.7</v>
      </c>
      <c r="L151" s="2"/>
      <c r="O151" s="2"/>
    </row>
    <row r="152" spans="3:15" x14ac:dyDescent="0.3">
      <c r="C152" s="41"/>
      <c r="E152" s="2"/>
      <c r="F152" s="2"/>
      <c r="G152" s="2"/>
      <c r="H152" s="2"/>
      <c r="I152" s="2"/>
      <c r="L152" s="2"/>
      <c r="O152" s="2"/>
    </row>
    <row r="153" spans="3:15" x14ac:dyDescent="0.3">
      <c r="C153" s="41" t="s">
        <v>499</v>
      </c>
      <c r="E153" s="2">
        <f>E151+E140</f>
        <v>2971.8</v>
      </c>
      <c r="F153" s="2">
        <f>F151+F140</f>
        <v>2818.7</v>
      </c>
      <c r="G153" s="2">
        <f>G151+G140</f>
        <v>3085.5</v>
      </c>
      <c r="H153" s="2">
        <f>H151+H140</f>
        <v>3118.2</v>
      </c>
      <c r="I153" s="2">
        <f>I151+I140</f>
        <v>3134.8</v>
      </c>
      <c r="L153" s="2"/>
      <c r="O153" s="2"/>
    </row>
    <row r="154" spans="3:15" x14ac:dyDescent="0.3">
      <c r="E154" s="2"/>
      <c r="F154" s="2"/>
      <c r="G154" s="2"/>
      <c r="H154" s="2"/>
      <c r="I154" s="2"/>
      <c r="L154" s="2"/>
      <c r="O154" s="2"/>
    </row>
    <row r="155" spans="3:15" x14ac:dyDescent="0.3">
      <c r="C155" s="41" t="s">
        <v>123</v>
      </c>
      <c r="E155" s="2">
        <f>E131-E140-E151</f>
        <v>1010.0000000000002</v>
      </c>
      <c r="F155" s="2">
        <f>F131-F140-F151</f>
        <v>1165.0999999999992</v>
      </c>
      <c r="G155" s="2">
        <f>G131-G140-G151</f>
        <v>1638.8000000000013</v>
      </c>
      <c r="H155" s="2">
        <f>H131-H140-H151</f>
        <v>1754.3000000000011</v>
      </c>
      <c r="I155" s="2">
        <f>I131-I140-I151</f>
        <v>1780.4999999999989</v>
      </c>
      <c r="L155" s="2"/>
      <c r="O155" s="2"/>
    </row>
    <row r="158" spans="3:15" x14ac:dyDescent="0.3">
      <c r="C158" s="41" t="s">
        <v>85</v>
      </c>
      <c r="E158" s="33">
        <v>1010</v>
      </c>
      <c r="F158" s="47">
        <v>1165.0999999999999</v>
      </c>
      <c r="G158" s="33">
        <v>1638.8</v>
      </c>
      <c r="H158" s="33">
        <v>1754.3</v>
      </c>
      <c r="I158" s="47">
        <v>1780.5</v>
      </c>
      <c r="L158" s="2"/>
      <c r="O158" s="2"/>
    </row>
    <row r="160" spans="3:15" x14ac:dyDescent="0.3">
      <c r="C160" s="41" t="s">
        <v>88</v>
      </c>
      <c r="D160">
        <f>SUM(E160:I160)</f>
        <v>0</v>
      </c>
      <c r="E160">
        <f>E158-E155</f>
        <v>0</v>
      </c>
      <c r="F160">
        <f>F158-F155</f>
        <v>0</v>
      </c>
      <c r="G160">
        <f>G158-G155</f>
        <v>0</v>
      </c>
      <c r="H160">
        <f>H158-H155</f>
        <v>0</v>
      </c>
      <c r="I160">
        <f>I158-I155</f>
        <v>0</v>
      </c>
    </row>
    <row r="173" ht="16.8" customHeight="1" x14ac:dyDescent="0.3"/>
    <row r="174" ht="16.8" customHeight="1" x14ac:dyDescent="0.3"/>
    <row r="175" ht="16.8" customHeight="1" x14ac:dyDescent="0.3"/>
    <row r="176" ht="13.2" customHeight="1" x14ac:dyDescent="0.3"/>
    <row r="177" ht="14.4" customHeight="1" x14ac:dyDescent="0.3"/>
    <row r="178" ht="14.4" customHeight="1" x14ac:dyDescent="0.3"/>
    <row r="179" ht="14.4" customHeight="1" x14ac:dyDescent="0.3"/>
    <row r="180" ht="14.4" customHeight="1" x14ac:dyDescent="0.3"/>
    <row r="181" ht="14.4" customHeight="1" x14ac:dyDescent="0.3"/>
    <row r="182" ht="14.4" customHeight="1" x14ac:dyDescent="0.3"/>
    <row r="183" ht="14.4" customHeight="1" x14ac:dyDescent="0.3"/>
    <row r="184" ht="14.4" customHeight="1" x14ac:dyDescent="0.3"/>
    <row r="185" ht="17.399999999999999" customHeight="1" x14ac:dyDescent="0.3"/>
    <row r="186" ht="17.399999999999999" customHeight="1" x14ac:dyDescent="0.3"/>
    <row r="187" ht="17.399999999999999" customHeight="1" x14ac:dyDescent="0.3"/>
    <row r="188" ht="17.399999999999999" customHeight="1" x14ac:dyDescent="0.3"/>
    <row r="189" ht="15" customHeight="1" x14ac:dyDescent="0.3"/>
    <row r="190" ht="15" customHeight="1" x14ac:dyDescent="0.3"/>
    <row r="191" ht="15" customHeight="1" x14ac:dyDescent="0.3"/>
    <row r="192" ht="16.2" customHeight="1" x14ac:dyDescent="0.3"/>
    <row r="193" ht="16.2" customHeight="1" x14ac:dyDescent="0.3"/>
    <row r="194" ht="16.2" customHeight="1" x14ac:dyDescent="0.3"/>
    <row r="195" ht="16.2" customHeight="1" x14ac:dyDescent="0.3"/>
    <row r="196" ht="16.2" customHeight="1" x14ac:dyDescent="0.3"/>
    <row r="197" ht="16.2" customHeight="1" x14ac:dyDescent="0.3"/>
    <row r="198" ht="16.2" customHeight="1" x14ac:dyDescent="0.3"/>
    <row r="199" ht="16.2" customHeight="1" x14ac:dyDescent="0.3"/>
    <row r="200" ht="16.2" customHeight="1" x14ac:dyDescent="0.3"/>
    <row r="201" ht="16.2" customHeight="1" x14ac:dyDescent="0.3"/>
    <row r="202" ht="16.2" customHeight="1" x14ac:dyDescent="0.3"/>
    <row r="203" ht="16.2" customHeight="1" x14ac:dyDescent="0.3"/>
    <row r="204" ht="16.2" customHeight="1" x14ac:dyDescent="0.3"/>
    <row r="205" ht="16.2" customHeight="1" x14ac:dyDescent="0.3"/>
    <row r="206" ht="16.2" customHeight="1" x14ac:dyDescent="0.3"/>
    <row r="207" ht="16.2" customHeight="1" x14ac:dyDescent="0.3"/>
    <row r="208" ht="16.2" customHeight="1" x14ac:dyDescent="0.3"/>
    <row r="209" ht="16.2" customHeight="1" x14ac:dyDescent="0.3"/>
    <row r="210" ht="16.2" customHeight="1" x14ac:dyDescent="0.3"/>
    <row r="211" ht="16.2" customHeight="1" x14ac:dyDescent="0.3"/>
    <row r="212" ht="16.2" customHeight="1" x14ac:dyDescent="0.3"/>
    <row r="213" ht="16.2" customHeight="1" x14ac:dyDescent="0.3"/>
    <row r="214" ht="16.2" customHeight="1" x14ac:dyDescent="0.3"/>
    <row r="215" ht="16.2" customHeight="1" x14ac:dyDescent="0.3"/>
    <row r="216" ht="16.2" customHeight="1" x14ac:dyDescent="0.3"/>
    <row r="241" ht="16.8" customHeight="1" x14ac:dyDescent="0.3"/>
    <row r="468" spans="34:44" ht="22.2" customHeight="1" x14ac:dyDescent="0.3"/>
    <row r="469" spans="34:44" ht="22.2" customHeight="1" x14ac:dyDescent="0.3"/>
    <row r="470" spans="34:44" ht="22.2" customHeight="1" x14ac:dyDescent="0.3"/>
    <row r="471" spans="34:44" x14ac:dyDescent="0.3">
      <c r="AH471">
        <f>'rough sheet'!AG1045+1</f>
        <v>2027</v>
      </c>
      <c r="AI471">
        <f>AH471+1</f>
        <v>2028</v>
      </c>
      <c r="AJ471">
        <f>AI471+1</f>
        <v>2029</v>
      </c>
      <c r="AK471">
        <f>AJ471+1</f>
        <v>2030</v>
      </c>
      <c r="AL471">
        <f>AK471+1</f>
        <v>2031</v>
      </c>
    </row>
    <row r="472" spans="34:44" x14ac:dyDescent="0.3">
      <c r="AH472">
        <f>AVERAGE('rough sheet'!AF1046:AG1046)</f>
        <v>224.95000000000005</v>
      </c>
      <c r="AI472">
        <f>AVERAGE(AH472:AH472)</f>
        <v>224.95000000000005</v>
      </c>
      <c r="AJ472">
        <f>AVERAGE(AH472:AI472)</f>
        <v>224.95000000000005</v>
      </c>
      <c r="AK472">
        <f>AVERAGE(AI472:AJ472)</f>
        <v>224.95000000000005</v>
      </c>
      <c r="AL472">
        <f>AVERAGE(AJ472:AK472)</f>
        <v>224.95000000000005</v>
      </c>
      <c r="AN472">
        <f>(AN503+'rough sheet'!V1137)/2</f>
        <v>112.47500000000002</v>
      </c>
      <c r="AO472">
        <f>(AO503+'rough sheet'!W1137)/2</f>
        <v>109.38749999999999</v>
      </c>
      <c r="AP472">
        <f>(AP503+'rough sheet'!X1137)/2</f>
        <v>110.93125000000001</v>
      </c>
      <c r="AQ472">
        <f>(AQ503+'rough sheet'!Y1137)/2</f>
        <v>110.159375</v>
      </c>
      <c r="AR472">
        <f>(AR503+'rough sheet'!Z1137)/2</f>
        <v>110.54531249999999</v>
      </c>
    </row>
    <row r="473" spans="34:44" x14ac:dyDescent="0.3">
      <c r="AN473">
        <f>'rough sheet'!I1046+AN472</f>
        <v>2699.875</v>
      </c>
      <c r="AO473">
        <f>AN473+AO472</f>
        <v>2809.2624999999998</v>
      </c>
    </row>
    <row r="474" spans="34:44" x14ac:dyDescent="0.3">
      <c r="AN474" s="10"/>
      <c r="AO474" s="10"/>
      <c r="AP474" s="10"/>
      <c r="AQ474" s="10"/>
      <c r="AR474" s="10"/>
    </row>
    <row r="475" spans="34:44" x14ac:dyDescent="0.3">
      <c r="AH475">
        <f>AVERAGE('rough sheet'!AF1049:AG1049)</f>
        <v>24.049999999999955</v>
      </c>
      <c r="AI475">
        <f>AVERAGE(AH475:AH475)</f>
        <v>24.049999999999955</v>
      </c>
      <c r="AJ475">
        <f>AVERAGE(AH475:AI475)</f>
        <v>24.049999999999955</v>
      </c>
      <c r="AK475">
        <f>AVERAGE(AI475:AJ475)</f>
        <v>24.049999999999955</v>
      </c>
      <c r="AL475">
        <f>AVERAGE(AJ475:AK475)</f>
        <v>24.049999999999955</v>
      </c>
      <c r="AN475">
        <f>(AN505+'rough sheet'!V1141)/2</f>
        <v>30.649999999999977</v>
      </c>
      <c r="AO475">
        <f>(AO505+'rough sheet'!W1141)/2</f>
        <v>30.174999999999955</v>
      </c>
      <c r="AP475">
        <f>(AP505+'rough sheet'!X1141)/2</f>
        <v>30.412499999999966</v>
      </c>
      <c r="AQ475">
        <f>(AQ505+'rough sheet'!Y1141)/2</f>
        <v>30.29374999999996</v>
      </c>
      <c r="AR475">
        <f>(AR505+'rough sheet'!Z1141)/2</f>
        <v>30.353124999999963</v>
      </c>
    </row>
    <row r="476" spans="34:44" x14ac:dyDescent="0.3">
      <c r="AN476">
        <f>'rough sheet'!I1049+AN475</f>
        <v>1311.0500000000002</v>
      </c>
      <c r="AO476">
        <f>AN476+AO475</f>
        <v>1341.2250000000001</v>
      </c>
      <c r="AP476" s="10"/>
      <c r="AQ476" s="10"/>
      <c r="AR476" s="10"/>
    </row>
    <row r="478" spans="34:44" x14ac:dyDescent="0.3">
      <c r="AN478" s="10"/>
      <c r="AO478" s="10"/>
      <c r="AP478" s="10"/>
      <c r="AQ478" s="10"/>
      <c r="AR478" s="10"/>
    </row>
    <row r="480" spans="34:44" x14ac:dyDescent="0.3">
      <c r="AH480">
        <f>AVERAGE('rough sheet'!AC1054:AG1054)</f>
        <v>15.3</v>
      </c>
      <c r="AI480">
        <f>AVERAGE(AH480:AH480)</f>
        <v>15.3</v>
      </c>
      <c r="AJ480">
        <f>AVERAGE(AH480:AI480)</f>
        <v>15.3</v>
      </c>
      <c r="AK480">
        <f>AVERAGE(AH480:AJ480)</f>
        <v>15.300000000000002</v>
      </c>
      <c r="AL480">
        <f>AVERAGE(AH480:AK480)</f>
        <v>15.300000000000002</v>
      </c>
      <c r="AN480">
        <f>(AN510+'rough sheet'!V1134)/2</f>
        <v>17.899999999999999</v>
      </c>
      <c r="AO480">
        <f>(AO510+'rough sheet'!W1134)/2</f>
        <v>20.18</v>
      </c>
      <c r="AP480">
        <f>(AP510+'rough sheet'!X1134)/2</f>
        <v>21.025999999999989</v>
      </c>
      <c r="AQ480">
        <f>(AQ510+'rough sheet'!Y1134)/2</f>
        <v>20.981199999999987</v>
      </c>
      <c r="AR480">
        <f>(AR510+'rough sheet'!Z1134)/2</f>
        <v>19.647439999999992</v>
      </c>
    </row>
    <row r="481" spans="34:44" x14ac:dyDescent="0.3">
      <c r="AN481">
        <f>'rough sheet'!I1054+AN480</f>
        <v>1905.9</v>
      </c>
      <c r="AO481">
        <f>AN481+AO480</f>
        <v>1926.0800000000002</v>
      </c>
    </row>
    <row r="483" spans="34:44" x14ac:dyDescent="0.3">
      <c r="AH483">
        <f>AVERAGE('rough sheet'!AC1057:AG1057)</f>
        <v>-1.1599999999999908</v>
      </c>
      <c r="AI483">
        <f>AVERAGE(AH483:AH483)</f>
        <v>-1.1599999999999908</v>
      </c>
      <c r="AJ483">
        <f>AVERAGE(AH483:AI483)</f>
        <v>-1.1599999999999908</v>
      </c>
      <c r="AK483">
        <f>AVERAGE(AH483:AJ483)</f>
        <v>-1.1599999999999908</v>
      </c>
      <c r="AL483">
        <f>AVERAGE(AH483:AK483)</f>
        <v>-1.1599999999999908</v>
      </c>
      <c r="AN483">
        <f>(AN512+'rough sheet'!V1145)/2</f>
        <v>-0.85499999999998977</v>
      </c>
      <c r="AO483">
        <f>(AO512+'rough sheet'!W1145)/2</f>
        <v>-0.8809999999999889</v>
      </c>
      <c r="AP483">
        <f>(AP512+'rough sheet'!X1145)/2</f>
        <v>-1.0171999999999888</v>
      </c>
      <c r="AQ483">
        <f>(AQ512+'rough sheet'!Y1145)/2</f>
        <v>-1.250639999999988</v>
      </c>
      <c r="AR483">
        <f>(AR512+'rough sheet'!Z1145)/2</f>
        <v>-1.3307679999999866</v>
      </c>
    </row>
    <row r="484" spans="34:44" x14ac:dyDescent="0.3">
      <c r="AN484">
        <f>'rough sheet'!I1057+AN483</f>
        <v>304.84500000000003</v>
      </c>
    </row>
    <row r="486" spans="34:44" x14ac:dyDescent="0.3">
      <c r="AH486">
        <f>AVERAGE('rough sheet'!AC1060:AG1060)</f>
        <v>16.400000000000013</v>
      </c>
      <c r="AI486">
        <f>AVERAGE(AH486:AH486)</f>
        <v>16.400000000000013</v>
      </c>
      <c r="AJ486">
        <f>AVERAGE(AH486:AI486)</f>
        <v>16.400000000000013</v>
      </c>
      <c r="AK486">
        <f>AVERAGE(AH486:AJ486)</f>
        <v>16.400000000000013</v>
      </c>
      <c r="AL486">
        <f>AVERAGE(AH486:AK486)</f>
        <v>16.400000000000013</v>
      </c>
      <c r="AN486" s="89">
        <f>(AN514+'rough sheet'!V1148)/2</f>
        <v>-363.08</v>
      </c>
      <c r="AO486" s="89">
        <f>(AO514+'rough sheet'!W1148)/2</f>
        <v>-397.80599999999998</v>
      </c>
      <c r="AP486" s="89">
        <f>(AP514+'rough sheet'!X1148)/2</f>
        <v>-470.23719999999997</v>
      </c>
      <c r="AQ486" s="89">
        <f>(AQ514+'rough sheet'!Y1148)/2</f>
        <v>-501.97463999999997</v>
      </c>
      <c r="AR486" s="89">
        <f>(AR514+'rough sheet'!Z1148)/2</f>
        <v>-477.76956799999994</v>
      </c>
    </row>
    <row r="487" spans="34:44" x14ac:dyDescent="0.3">
      <c r="AN487" s="70"/>
      <c r="AO487" s="70"/>
      <c r="AP487" s="70"/>
      <c r="AQ487" s="70"/>
      <c r="AR487" s="70"/>
    </row>
    <row r="492" spans="34:44" x14ac:dyDescent="0.3">
      <c r="AH492">
        <f>AVERAGE('rough sheet'!AC1066:AG1066)</f>
        <v>-0.35999999999999943</v>
      </c>
      <c r="AI492">
        <f>AVERAGE(AH492:AH492)</f>
        <v>-0.35999999999999943</v>
      </c>
      <c r="AJ492">
        <f>AVERAGE(AH492:AI492)</f>
        <v>-0.35999999999999943</v>
      </c>
      <c r="AK492">
        <f>AVERAGE(AH492:AJ492)</f>
        <v>-0.35999999999999943</v>
      </c>
      <c r="AL492">
        <f>AVERAGE(AH492:AK492)</f>
        <v>-0.35999999999999943</v>
      </c>
      <c r="AN492">
        <f>(AN518+'rough sheet'!V1151)/2</f>
        <v>-0.22499999999999964</v>
      </c>
      <c r="AO492">
        <f>(AO518+'rough sheet'!W1151)/2</f>
        <v>-0.22499999999999964</v>
      </c>
      <c r="AP492">
        <f>(AP518+'rough sheet'!X1151)/2</f>
        <v>-0.25000000000000072</v>
      </c>
      <c r="AQ492">
        <f>(AQ518+'rough sheet'!Y1151)/2</f>
        <v>-0.26000000000000029</v>
      </c>
      <c r="AR492">
        <f>(AR518+'rough sheet'!Z1151)/2</f>
        <v>-0.34200000000000003</v>
      </c>
    </row>
    <row r="494" spans="34:44" x14ac:dyDescent="0.3">
      <c r="AR494" s="10"/>
    </row>
    <row r="495" spans="34:44" x14ac:dyDescent="0.3">
      <c r="AN495" s="2">
        <f t="shared" ref="AN495" si="0">SUM(AN472:AN494)</f>
        <v>6018.5350000000008</v>
      </c>
      <c r="AO495" s="2">
        <f t="shared" ref="AO495" si="1">SUM(AO472:AO494)</f>
        <v>5837.3980000000001</v>
      </c>
      <c r="AP495" s="2">
        <f t="shared" ref="AP495" si="2">SUM(AP472:AP494)</f>
        <v>-309.13465000000002</v>
      </c>
      <c r="AQ495" s="2">
        <f t="shared" ref="AQ495" si="3">SUM(AQ472:AQ494)</f>
        <v>-342.05095499999999</v>
      </c>
      <c r="AR495" s="2">
        <f t="shared" ref="AR495" si="4">SUM(AR472:AR494)</f>
        <v>-318.89645849999999</v>
      </c>
    </row>
    <row r="498" spans="34:44" x14ac:dyDescent="0.3">
      <c r="AH498">
        <f>AVERAGE('rough sheet'!AC1072:AG1072)</f>
        <v>772.36371573391261</v>
      </c>
    </row>
    <row r="502" spans="34:44" x14ac:dyDescent="0.3">
      <c r="AP502" s="10"/>
    </row>
    <row r="503" spans="34:44" x14ac:dyDescent="0.3">
      <c r="AL503">
        <f>'rough sheet'!H1077-'rough sheet'!H1046</f>
        <v>237.70000000000027</v>
      </c>
      <c r="AM503">
        <f>'rough sheet'!I1077-'rough sheet'!I1046</f>
        <v>256.29999999999973</v>
      </c>
      <c r="AN503">
        <f>AVERAGE(AL503:AM503)</f>
        <v>247</v>
      </c>
      <c r="AO503">
        <f t="shared" ref="AO503:AP503" si="5">AVERAGE(AM503:AN503)</f>
        <v>251.64999999999986</v>
      </c>
      <c r="AP503">
        <f t="shared" si="5"/>
        <v>249.32499999999993</v>
      </c>
      <c r="AQ503">
        <f>AVERAGE(AO503:AP503)</f>
        <v>250.4874999999999</v>
      </c>
      <c r="AR503">
        <f t="shared" ref="AR503" si="6">AVERAGE(AP503:AQ503)</f>
        <v>249.90624999999991</v>
      </c>
    </row>
    <row r="505" spans="34:44" x14ac:dyDescent="0.3">
      <c r="AL505">
        <f>'rough sheet'!H1079-'rough sheet'!H1049</f>
        <v>31.700000000000045</v>
      </c>
      <c r="AM505">
        <f>'rough sheet'!I1079-'rough sheet'!I1049</f>
        <v>42.799999999999955</v>
      </c>
      <c r="AN505">
        <f>AVERAGE(AL505:AM505)</f>
        <v>37.25</v>
      </c>
      <c r="AO505">
        <f t="shared" ref="AO505:AP505" si="7">AVERAGE(AM505:AN505)</f>
        <v>40.024999999999977</v>
      </c>
      <c r="AP505">
        <f t="shared" si="7"/>
        <v>38.637499999999989</v>
      </c>
      <c r="AQ505">
        <f>AVERAGE(AO505:AP505)</f>
        <v>39.331249999999983</v>
      </c>
      <c r="AR505">
        <f t="shared" ref="AR505" si="8">AVERAGE(AP505:AQ505)</f>
        <v>38.984374999999986</v>
      </c>
    </row>
    <row r="507" spans="34:44" x14ac:dyDescent="0.3">
      <c r="AI507">
        <f>'rough sheet'!E1081-'rough sheet'!E1051</f>
        <v>201.59999999999991</v>
      </c>
      <c r="AJ507">
        <f>'rough sheet'!F1081-'rough sheet'!F1051</f>
        <v>263</v>
      </c>
      <c r="AK507">
        <f>'rough sheet'!G1081-'rough sheet'!G1051</f>
        <v>258.29999999999973</v>
      </c>
      <c r="AL507">
        <f>'rough sheet'!H1081-'rough sheet'!H1051</f>
        <v>269.40000000000055</v>
      </c>
      <c r="AM507">
        <f>'rough sheet'!I1081-'rough sheet'!I1051</f>
        <v>299.09999999999945</v>
      </c>
      <c r="AN507">
        <f>AVERAGE(AI507:AM507)</f>
        <v>258.27999999999992</v>
      </c>
      <c r="AO507">
        <f t="shared" ref="AO507:AP507" si="9">AVERAGE(AJ507:AN507)</f>
        <v>269.61599999999993</v>
      </c>
      <c r="AP507">
        <f t="shared" si="9"/>
        <v>270.93919999999991</v>
      </c>
      <c r="AQ507">
        <f>AVERAGE(AL507:AP507)</f>
        <v>273.46704</v>
      </c>
      <c r="AR507">
        <f t="shared" ref="AR507" si="10">AVERAGE(AM507:AQ507)</f>
        <v>274.28044799999986</v>
      </c>
    </row>
    <row r="510" spans="34:44" x14ac:dyDescent="0.3">
      <c r="AI510">
        <f>'rough sheet'!E1084-'rough sheet'!E1054</f>
        <v>6.5</v>
      </c>
      <c r="AJ510">
        <f>'rough sheet'!F1084-'rough sheet'!F1054</f>
        <v>16</v>
      </c>
      <c r="AK510">
        <f>'rough sheet'!G1084-'rough sheet'!G1054</f>
        <v>21.200000000000045</v>
      </c>
      <c r="AL510">
        <f>'rough sheet'!H1084-'rough sheet'!H1054</f>
        <v>27.5</v>
      </c>
      <c r="AM510">
        <f>'rough sheet'!I1084-'rough sheet'!I1054</f>
        <v>31.299999999999955</v>
      </c>
      <c r="AN510">
        <f>AVERAGE(AI510:AM510)</f>
        <v>20.5</v>
      </c>
      <c r="AO510">
        <f t="shared" ref="AO510:AP510" si="11">AVERAGE(AJ510:AN510)</f>
        <v>23.3</v>
      </c>
      <c r="AP510">
        <f t="shared" si="11"/>
        <v>24.759999999999998</v>
      </c>
      <c r="AQ510">
        <f>AVERAGE(AL510:AP510)</f>
        <v>25.471999999999991</v>
      </c>
      <c r="AR510">
        <f t="shared" ref="AR510" si="12">AVERAGE(AM510:AQ510)</f>
        <v>25.066399999999991</v>
      </c>
    </row>
    <row r="512" spans="34:44" x14ac:dyDescent="0.3">
      <c r="AI512">
        <f>'rough sheet'!E1086-'rough sheet'!E1057</f>
        <v>0</v>
      </c>
      <c r="AJ512">
        <f>'rough sheet'!F1086-'rough sheet'!F1057</f>
        <v>0</v>
      </c>
      <c r="AK512">
        <f>'rough sheet'!G1086-'rough sheet'!G1057</f>
        <v>0</v>
      </c>
      <c r="AL512">
        <f>'rough sheet'!H1086-'rough sheet'!H1057</f>
        <v>-0.69999999999998863</v>
      </c>
      <c r="AM512">
        <f>'rough sheet'!I1086-'rough sheet'!I1057</f>
        <v>-0.59999999999996589</v>
      </c>
      <c r="AN512">
        <f>AVERAGE(AI512:AM512)</f>
        <v>-0.25999999999999091</v>
      </c>
      <c r="AO512">
        <f t="shared" ref="AO512:AP512" si="13">AVERAGE(AJ512:AN512)</f>
        <v>-0.31199999999998906</v>
      </c>
      <c r="AP512">
        <f t="shared" si="13"/>
        <v>-0.37439999999998691</v>
      </c>
      <c r="AQ512">
        <f>AVERAGE(AL512:AP512)</f>
        <v>-0.44927999999998425</v>
      </c>
      <c r="AR512">
        <f t="shared" ref="AR512" si="14">AVERAGE(AM512:AQ512)</f>
        <v>-0.39913599999998339</v>
      </c>
    </row>
    <row r="514" spans="35:44" x14ac:dyDescent="0.3">
      <c r="AI514">
        <f>'rough sheet'!E1088-'rough sheet'!E1060</f>
        <v>27.8</v>
      </c>
      <c r="AJ514">
        <f>'rough sheet'!F1088-'rough sheet'!F1060</f>
        <v>-35.6</v>
      </c>
      <c r="AK514">
        <f>'rough sheet'!G1088-'rough sheet'!G1060</f>
        <v>-311.3</v>
      </c>
      <c r="AL514">
        <f>'rough sheet'!H1088-'rough sheet'!H1060</f>
        <v>-623</v>
      </c>
      <c r="AM514">
        <f>'rough sheet'!I1088-'rough sheet'!I1060</f>
        <v>-655.19999999999993</v>
      </c>
      <c r="AN514">
        <f>AVERAGE(AI514:AM514)</f>
        <v>-319.45999999999998</v>
      </c>
      <c r="AO514">
        <f t="shared" ref="AO514:AP514" si="15">AVERAGE(AJ514:AN514)</f>
        <v>-388.91199999999998</v>
      </c>
      <c r="AP514">
        <f t="shared" si="15"/>
        <v>-459.57439999999997</v>
      </c>
      <c r="AQ514">
        <f>AVERAGE(AL514:AP514)</f>
        <v>-489.2292799999999</v>
      </c>
      <c r="AR514">
        <f t="shared" ref="AR514" si="16">AVERAGE(AM514:AQ514)</f>
        <v>-462.47513599999991</v>
      </c>
    </row>
    <row r="518" spans="35:44" x14ac:dyDescent="0.3">
      <c r="AI518">
        <f>'rough sheet'!E1092-'rough sheet'!E1066</f>
        <v>0</v>
      </c>
      <c r="AJ518">
        <f>'rough sheet'!F1092-'rough sheet'!F1066</f>
        <v>0</v>
      </c>
      <c r="AK518">
        <f>'rough sheet'!G1092-'rough sheet'!G1066</f>
        <v>0</v>
      </c>
      <c r="AL518">
        <f>'rough sheet'!H1092-'rough sheet'!H1066</f>
        <v>0</v>
      </c>
      <c r="AM518">
        <f>'rough sheet'!I1092-'rough sheet'!I1066</f>
        <v>0</v>
      </c>
      <c r="AN518">
        <f>AVERAGE(AI518:AM518)</f>
        <v>0</v>
      </c>
      <c r="AO518">
        <f t="shared" ref="AO518:AP518" si="17">AVERAGE(AJ518:AN518)</f>
        <v>0</v>
      </c>
      <c r="AP518">
        <f t="shared" si="17"/>
        <v>0</v>
      </c>
      <c r="AQ518">
        <f>AVERAGE(AL518:AP518)</f>
        <v>0</v>
      </c>
      <c r="AR518">
        <f t="shared" ref="AR518" si="18">AVERAGE(AM518:AQ518)</f>
        <v>0</v>
      </c>
    </row>
    <row r="519" spans="35:44" x14ac:dyDescent="0.3">
      <c r="AJ519" s="10"/>
      <c r="AK519" s="10"/>
      <c r="AL519" s="10"/>
      <c r="AM519" s="10"/>
      <c r="AP519" s="10"/>
    </row>
    <row r="520" spans="35:44" x14ac:dyDescent="0.3">
      <c r="AI520" s="2">
        <f>SUM(AI501:AI519)</f>
        <v>235.89999999999992</v>
      </c>
      <c r="AJ520" s="2">
        <f t="shared" ref="AJ520" si="19">SUM(AJ501:AJ519)</f>
        <v>243.4</v>
      </c>
      <c r="AK520" s="2">
        <f t="shared" ref="AK520" si="20">SUM(AK501:AK519)</f>
        <v>-31.800000000000239</v>
      </c>
      <c r="AL520" s="2">
        <f t="shared" ref="AL520" si="21">SUM(AL501:AL519)</f>
        <v>-57.399999999999181</v>
      </c>
      <c r="AM520" s="2">
        <f t="shared" ref="AM520" si="22">SUM(AM501:AM519)</f>
        <v>-26.30000000000075</v>
      </c>
      <c r="AN520" s="2">
        <f t="shared" ref="AN520" si="23">SUM(AN501:AN519)</f>
        <v>243.31</v>
      </c>
      <c r="AO520" s="2">
        <f t="shared" ref="AO520" si="24">SUM(AO501:AO519)</f>
        <v>195.36699999999968</v>
      </c>
      <c r="AP520" s="2">
        <f t="shared" ref="AP520" si="25">SUM(AP501:AP519)</f>
        <v>123.71289999999988</v>
      </c>
      <c r="AQ520" s="2">
        <f t="shared" ref="AQ520" si="26">SUM(AQ501:AQ519)</f>
        <v>99.079230000000052</v>
      </c>
      <c r="AR520" s="2">
        <f t="shared" ref="AR520" si="27">SUM(AR501:AR519)</f>
        <v>125.36320099999989</v>
      </c>
    </row>
    <row r="556" ht="15.6" customHeight="1" x14ac:dyDescent="0.3"/>
    <row r="557" ht="20.399999999999999" customHeight="1" x14ac:dyDescent="0.3"/>
    <row r="558" ht="20.399999999999999" customHeight="1" x14ac:dyDescent="0.3"/>
    <row r="559" ht="20.399999999999999" customHeight="1" x14ac:dyDescent="0.3"/>
    <row r="560" ht="20.399999999999999" customHeight="1" x14ac:dyDescent="0.3"/>
    <row r="561" ht="20.399999999999999" customHeight="1" x14ac:dyDescent="0.3"/>
    <row r="562" ht="20.399999999999999" customHeight="1" x14ac:dyDescent="0.3"/>
    <row r="563" ht="20.399999999999999" customHeight="1" x14ac:dyDescent="0.3"/>
    <row r="564" ht="20.399999999999999" customHeight="1" x14ac:dyDescent="0.3"/>
    <row r="565" ht="20.399999999999999" customHeight="1" x14ac:dyDescent="0.3"/>
    <row r="566" ht="20.399999999999999" customHeight="1" x14ac:dyDescent="0.3"/>
    <row r="567" ht="20.399999999999999" customHeight="1" x14ac:dyDescent="0.3"/>
    <row r="568" ht="20.399999999999999" customHeight="1" x14ac:dyDescent="0.3"/>
    <row r="569" ht="20.399999999999999" customHeight="1" x14ac:dyDescent="0.3"/>
    <row r="570" ht="20.399999999999999" customHeight="1" x14ac:dyDescent="0.3"/>
    <row r="571" ht="20.399999999999999" customHeight="1" x14ac:dyDescent="0.3"/>
    <row r="572" ht="20.399999999999999" customHeight="1" x14ac:dyDescent="0.3"/>
    <row r="573" ht="20.399999999999999" customHeight="1" x14ac:dyDescent="0.3"/>
    <row r="574" ht="20.399999999999999" customHeight="1" x14ac:dyDescent="0.3"/>
    <row r="575" ht="20.399999999999999" customHeight="1" x14ac:dyDescent="0.3"/>
    <row r="576" ht="20.399999999999999" customHeight="1" x14ac:dyDescent="0.3"/>
    <row r="577" ht="20.399999999999999" customHeight="1" x14ac:dyDescent="0.3"/>
    <row r="578" ht="20.399999999999999" customHeight="1" x14ac:dyDescent="0.3"/>
    <row r="579" ht="20.399999999999999" customHeight="1" x14ac:dyDescent="0.3"/>
    <row r="580" ht="20.399999999999999" customHeight="1" x14ac:dyDescent="0.3"/>
    <row r="581" ht="20.399999999999999" customHeight="1" x14ac:dyDescent="0.3"/>
    <row r="582" ht="20.399999999999999" customHeight="1" x14ac:dyDescent="0.3"/>
    <row r="583" ht="20.399999999999999" customHeight="1" x14ac:dyDescent="0.3"/>
    <row r="584" ht="20.399999999999999" customHeight="1" x14ac:dyDescent="0.3"/>
    <row r="585" ht="15.6" customHeight="1" x14ac:dyDescent="0.3"/>
    <row r="586" ht="15.6" customHeight="1" x14ac:dyDescent="0.3"/>
    <row r="587" ht="15.6" customHeight="1" x14ac:dyDescent="0.3"/>
    <row r="588" ht="18" customHeight="1" x14ac:dyDescent="0.3"/>
    <row r="589" ht="15.6" customHeight="1" x14ac:dyDescent="0.3"/>
    <row r="590" ht="15.6" customHeight="1" x14ac:dyDescent="0.3"/>
    <row r="591" ht="15.6" customHeight="1" x14ac:dyDescent="0.3"/>
    <row r="592" ht="15.6" customHeight="1" x14ac:dyDescent="0.3"/>
    <row r="593" ht="15.6" customHeight="1" x14ac:dyDescent="0.3"/>
    <row r="594" ht="15.6" customHeight="1" x14ac:dyDescent="0.3"/>
    <row r="595" ht="15.6" customHeight="1" x14ac:dyDescent="0.3"/>
    <row r="596" ht="15.6" customHeight="1" x14ac:dyDescent="0.3"/>
    <row r="597" ht="15.6" customHeight="1" x14ac:dyDescent="0.3"/>
    <row r="598" ht="15.6" customHeight="1" x14ac:dyDescent="0.3"/>
    <row r="599" ht="15.6" customHeight="1" x14ac:dyDescent="0.3"/>
    <row r="600" ht="15.6" customHeight="1" x14ac:dyDescent="0.3"/>
    <row r="601" ht="15.6" customHeight="1" x14ac:dyDescent="0.3"/>
    <row r="602" ht="15.6" customHeight="1" x14ac:dyDescent="0.3"/>
    <row r="603" ht="15.6" customHeight="1" x14ac:dyDescent="0.3"/>
    <row r="604" ht="15.6" customHeight="1" x14ac:dyDescent="0.3"/>
    <row r="605" ht="15.6" customHeight="1" x14ac:dyDescent="0.3"/>
    <row r="606" ht="15.6" customHeight="1" x14ac:dyDescent="0.3"/>
    <row r="607" ht="15.6" customHeight="1" x14ac:dyDescent="0.3"/>
    <row r="608" ht="15.6" customHeight="1" x14ac:dyDescent="0.3"/>
    <row r="609" ht="15.6" customHeight="1" x14ac:dyDescent="0.3"/>
    <row r="610" ht="15.6" customHeight="1" x14ac:dyDescent="0.3"/>
    <row r="611" ht="15.6" customHeight="1" x14ac:dyDescent="0.3"/>
    <row r="612" ht="15.6" customHeight="1" x14ac:dyDescent="0.3"/>
    <row r="613" ht="15.6" customHeight="1" x14ac:dyDescent="0.3"/>
    <row r="614" ht="15.6" customHeight="1" x14ac:dyDescent="0.3"/>
    <row r="615" ht="15.6" customHeight="1" x14ac:dyDescent="0.3"/>
    <row r="616" ht="15.6" customHeight="1" x14ac:dyDescent="0.3"/>
    <row r="617" ht="15.6" customHeight="1" x14ac:dyDescent="0.3"/>
    <row r="618" ht="15.6" customHeight="1" x14ac:dyDescent="0.3"/>
    <row r="619" ht="15.6" customHeight="1" x14ac:dyDescent="0.3"/>
    <row r="620" ht="15.6" customHeight="1" x14ac:dyDescent="0.3"/>
    <row r="621" ht="15.6" customHeight="1" x14ac:dyDescent="0.3"/>
    <row r="622" ht="15.6" customHeight="1" x14ac:dyDescent="0.3"/>
    <row r="623" ht="15.6" customHeight="1" x14ac:dyDescent="0.3"/>
    <row r="624" ht="15.6" customHeight="1" x14ac:dyDescent="0.3"/>
    <row r="625" ht="15.6" customHeight="1" x14ac:dyDescent="0.3"/>
    <row r="626" ht="15.6" customHeight="1" x14ac:dyDescent="0.3"/>
    <row r="627" ht="15.6" customHeight="1" x14ac:dyDescent="0.3"/>
    <row r="628" ht="15.6" customHeight="1" x14ac:dyDescent="0.3"/>
    <row r="629" ht="15.6" customHeight="1" x14ac:dyDescent="0.3"/>
    <row r="630" ht="15.6" customHeight="1" x14ac:dyDescent="0.3"/>
    <row r="631" ht="15.6" customHeight="1" x14ac:dyDescent="0.3"/>
    <row r="632" ht="15.6" customHeight="1" x14ac:dyDescent="0.3"/>
    <row r="633" ht="15.6" customHeight="1" x14ac:dyDescent="0.3"/>
    <row r="634" ht="15.6" customHeight="1" x14ac:dyDescent="0.3"/>
    <row r="635" ht="15.6" customHeight="1" x14ac:dyDescent="0.3"/>
    <row r="636" ht="15.6" customHeight="1" x14ac:dyDescent="0.3"/>
    <row r="637" ht="15.6" customHeight="1" x14ac:dyDescent="0.3"/>
    <row r="638" ht="15.6" customHeight="1" x14ac:dyDescent="0.3"/>
    <row r="639" ht="15.6" customHeight="1" x14ac:dyDescent="0.3"/>
    <row r="640" ht="15.6" customHeight="1" x14ac:dyDescent="0.3"/>
    <row r="641" ht="15.6" customHeight="1" x14ac:dyDescent="0.3"/>
    <row r="642" ht="15.6" customHeight="1" x14ac:dyDescent="0.3"/>
    <row r="643" ht="15.6" customHeight="1" x14ac:dyDescent="0.3"/>
    <row r="644" ht="15.6" customHeight="1" x14ac:dyDescent="0.3"/>
    <row r="645" ht="15.6" customHeight="1" x14ac:dyDescent="0.3"/>
    <row r="646" ht="15.6" customHeight="1" x14ac:dyDescent="0.3"/>
    <row r="647" ht="15.6" customHeight="1" x14ac:dyDescent="0.3"/>
    <row r="648" ht="15.6" customHeight="1" x14ac:dyDescent="0.3"/>
    <row r="649" ht="15.6" customHeight="1" x14ac:dyDescent="0.3"/>
    <row r="650" ht="15.6" customHeight="1" x14ac:dyDescent="0.3"/>
    <row r="651" ht="15.6" customHeight="1" x14ac:dyDescent="0.3"/>
    <row r="652" ht="15.6" customHeight="1" x14ac:dyDescent="0.3"/>
    <row r="653" ht="15.6" customHeight="1" x14ac:dyDescent="0.3"/>
    <row r="654" ht="15.6" customHeight="1" x14ac:dyDescent="0.3"/>
    <row r="655" ht="15.6" customHeight="1" x14ac:dyDescent="0.3"/>
    <row r="656" ht="15.6" customHeight="1" x14ac:dyDescent="0.3"/>
    <row r="657" ht="15.6" customHeight="1" x14ac:dyDescent="0.3"/>
    <row r="658" ht="15.6" customHeight="1" x14ac:dyDescent="0.3"/>
    <row r="659" ht="15.6" customHeight="1" x14ac:dyDescent="0.3"/>
    <row r="660" ht="15.6" customHeight="1" x14ac:dyDescent="0.3"/>
    <row r="661" ht="15.6" customHeight="1" x14ac:dyDescent="0.3"/>
    <row r="662" ht="15.6" customHeight="1" x14ac:dyDescent="0.3"/>
    <row r="663" ht="15.6" customHeight="1" x14ac:dyDescent="0.3"/>
    <row r="664" ht="15.6" customHeight="1" x14ac:dyDescent="0.3"/>
    <row r="665" ht="15.6" customHeight="1" x14ac:dyDescent="0.3"/>
    <row r="666" ht="15.6" customHeight="1" x14ac:dyDescent="0.3"/>
    <row r="667" ht="15.6" customHeight="1" x14ac:dyDescent="0.3"/>
    <row r="668" ht="15.6" customHeight="1" x14ac:dyDescent="0.3"/>
    <row r="669" ht="15.6" customHeight="1" x14ac:dyDescent="0.3"/>
    <row r="670" ht="15.6" customHeight="1" x14ac:dyDescent="0.3"/>
    <row r="671" ht="15.6" customHeight="1" x14ac:dyDescent="0.3"/>
    <row r="672" ht="15.6" customHeight="1" x14ac:dyDescent="0.3"/>
    <row r="673" ht="15.6" customHeight="1" x14ac:dyDescent="0.3"/>
    <row r="674" ht="15.6" customHeight="1" x14ac:dyDescent="0.3"/>
    <row r="675" ht="15.6" customHeight="1" x14ac:dyDescent="0.3"/>
    <row r="676" ht="15.6" customHeight="1" x14ac:dyDescent="0.3"/>
    <row r="677" ht="15.6" customHeight="1" x14ac:dyDescent="0.3"/>
    <row r="678" ht="15.6" customHeight="1" x14ac:dyDescent="0.3"/>
    <row r="679" ht="15.6" customHeight="1" x14ac:dyDescent="0.3"/>
    <row r="680" ht="15.6" customHeight="1" x14ac:dyDescent="0.3"/>
    <row r="681" ht="15.6" customHeight="1" x14ac:dyDescent="0.3"/>
    <row r="682" ht="15.6" customHeight="1" x14ac:dyDescent="0.3"/>
    <row r="683" ht="15.6" customHeight="1" x14ac:dyDescent="0.3"/>
    <row r="684" ht="15.6" customHeight="1" x14ac:dyDescent="0.3"/>
    <row r="685" ht="15.6" customHeight="1" x14ac:dyDescent="0.3"/>
    <row r="686" ht="15.6" customHeight="1" x14ac:dyDescent="0.3"/>
    <row r="687" ht="15.6" customHeight="1" x14ac:dyDescent="0.3"/>
    <row r="688" ht="15.6" customHeight="1" x14ac:dyDescent="0.3"/>
    <row r="689" ht="15.6" customHeight="1" x14ac:dyDescent="0.3"/>
    <row r="690" ht="15.6" customHeight="1" x14ac:dyDescent="0.3"/>
    <row r="691" ht="15.6" customHeight="1" x14ac:dyDescent="0.3"/>
    <row r="692" ht="15.6" customHeight="1" x14ac:dyDescent="0.3"/>
    <row r="693" ht="15.6" customHeight="1" x14ac:dyDescent="0.3"/>
    <row r="694" ht="15.6" customHeight="1" x14ac:dyDescent="0.3"/>
    <row r="695" ht="15.6" customHeight="1" x14ac:dyDescent="0.3"/>
    <row r="696" ht="15.6" customHeight="1" x14ac:dyDescent="0.3"/>
    <row r="697" ht="15.6" customHeight="1" x14ac:dyDescent="0.3"/>
    <row r="698" ht="15.6" customHeight="1" x14ac:dyDescent="0.3"/>
    <row r="699" ht="15.6" customHeight="1" x14ac:dyDescent="0.3"/>
    <row r="700" ht="15.6" customHeight="1" x14ac:dyDescent="0.3"/>
    <row r="701" ht="15.6" customHeight="1" x14ac:dyDescent="0.3"/>
    <row r="702" ht="15.6" customHeight="1" x14ac:dyDescent="0.3"/>
    <row r="703" ht="15.6" customHeight="1" x14ac:dyDescent="0.3"/>
    <row r="704" ht="15.6" customHeight="1" x14ac:dyDescent="0.3"/>
    <row r="705" ht="15.6" customHeight="1" x14ac:dyDescent="0.3"/>
    <row r="706" ht="15.6" customHeight="1" x14ac:dyDescent="0.3"/>
    <row r="707" ht="15.6" customHeight="1" x14ac:dyDescent="0.3"/>
    <row r="708" ht="15.6" customHeight="1" x14ac:dyDescent="0.3"/>
    <row r="709" ht="15.6" customHeight="1" x14ac:dyDescent="0.3"/>
    <row r="710" ht="15.6" customHeight="1" x14ac:dyDescent="0.3"/>
    <row r="711" ht="15.6" customHeight="1" x14ac:dyDescent="0.3"/>
    <row r="712" ht="15.6" customHeight="1" x14ac:dyDescent="0.3"/>
    <row r="713" ht="15.6" customHeight="1" x14ac:dyDescent="0.3"/>
    <row r="714" ht="15.6" customHeight="1" x14ac:dyDescent="0.3"/>
    <row r="715" ht="15.6" customHeight="1" x14ac:dyDescent="0.3"/>
    <row r="716" ht="15.6" customHeight="1" x14ac:dyDescent="0.3"/>
    <row r="717" ht="15.6" customHeight="1" x14ac:dyDescent="0.3"/>
    <row r="718" ht="15.6" customHeight="1" x14ac:dyDescent="0.3"/>
    <row r="719" ht="15.6" customHeight="1" x14ac:dyDescent="0.3"/>
    <row r="720" ht="15.6" customHeight="1" x14ac:dyDescent="0.3"/>
    <row r="721" ht="15.6" customHeight="1" x14ac:dyDescent="0.3"/>
    <row r="722" ht="15.6" customHeight="1" x14ac:dyDescent="0.3"/>
    <row r="723" ht="15.6" customHeight="1" x14ac:dyDescent="0.3"/>
    <row r="724" ht="15.6" customHeight="1" x14ac:dyDescent="0.3"/>
    <row r="725" ht="15.6" customHeight="1" x14ac:dyDescent="0.3"/>
    <row r="726" ht="15.6" customHeight="1" x14ac:dyDescent="0.3"/>
    <row r="727" ht="15.6" customHeight="1" x14ac:dyDescent="0.3"/>
    <row r="728" ht="15.6" customHeight="1" x14ac:dyDescent="0.3"/>
    <row r="729" ht="15.6" customHeight="1" x14ac:dyDescent="0.3"/>
    <row r="730" ht="15.6" customHeight="1" x14ac:dyDescent="0.3"/>
    <row r="731" ht="15.6" customHeight="1" x14ac:dyDescent="0.3"/>
    <row r="732" ht="15.6" customHeight="1" x14ac:dyDescent="0.3"/>
    <row r="733" ht="15.6" customHeight="1" x14ac:dyDescent="0.3"/>
    <row r="734" ht="15.6" customHeight="1" x14ac:dyDescent="0.3"/>
    <row r="735" ht="15.6" customHeight="1" x14ac:dyDescent="0.3"/>
    <row r="736" ht="15.6" customHeight="1" x14ac:dyDescent="0.3"/>
    <row r="737" ht="15.6" customHeight="1" x14ac:dyDescent="0.3"/>
    <row r="738" ht="15.6" customHeight="1" x14ac:dyDescent="0.3"/>
    <row r="739" ht="15.6" customHeight="1" x14ac:dyDescent="0.3"/>
    <row r="740" ht="15.6" customHeight="1" x14ac:dyDescent="0.3"/>
    <row r="741" ht="15.6" customHeight="1" x14ac:dyDescent="0.3"/>
    <row r="742" ht="15.6" customHeight="1" x14ac:dyDescent="0.3"/>
    <row r="743" ht="15.6" customHeight="1" x14ac:dyDescent="0.3"/>
    <row r="744" ht="15.6" customHeight="1" x14ac:dyDescent="0.3"/>
    <row r="745" ht="15.6" customHeight="1" x14ac:dyDescent="0.3"/>
    <row r="746" ht="15.6" customHeight="1" x14ac:dyDescent="0.3"/>
    <row r="747" ht="15.6" customHeight="1" x14ac:dyDescent="0.3"/>
    <row r="748" ht="15.6" customHeight="1" x14ac:dyDescent="0.3"/>
    <row r="749" ht="15.6" customHeight="1" x14ac:dyDescent="0.3"/>
    <row r="750" ht="15.6" customHeight="1" x14ac:dyDescent="0.3"/>
    <row r="751" ht="15.6" customHeight="1" x14ac:dyDescent="0.3"/>
    <row r="752" ht="15.6" customHeight="1" x14ac:dyDescent="0.3"/>
    <row r="753" ht="15.6" customHeight="1" x14ac:dyDescent="0.3"/>
    <row r="754" ht="15.6" customHeight="1" x14ac:dyDescent="0.3"/>
    <row r="755" ht="15.6" customHeight="1" x14ac:dyDescent="0.3"/>
    <row r="756" ht="15.6" customHeight="1" x14ac:dyDescent="0.3"/>
    <row r="757" ht="15.6" customHeight="1" x14ac:dyDescent="0.3"/>
    <row r="758" ht="15.6" customHeight="1" x14ac:dyDescent="0.3"/>
    <row r="759" ht="15.6" customHeight="1" x14ac:dyDescent="0.3"/>
    <row r="760" ht="15.6" customHeight="1" x14ac:dyDescent="0.3"/>
    <row r="761" ht="15.6" customHeight="1" x14ac:dyDescent="0.3"/>
    <row r="762" ht="15.6" customHeight="1" x14ac:dyDescent="0.3"/>
    <row r="763" ht="15.6" customHeight="1" x14ac:dyDescent="0.3"/>
    <row r="764" ht="15.6" customHeight="1" x14ac:dyDescent="0.3"/>
    <row r="765" ht="15.6" customHeight="1" x14ac:dyDescent="0.3"/>
    <row r="766" ht="15.6" customHeight="1" x14ac:dyDescent="0.3"/>
    <row r="767" ht="15.6" customHeight="1" x14ac:dyDescent="0.3"/>
    <row r="768" ht="15.6" customHeight="1" x14ac:dyDescent="0.3"/>
    <row r="769" ht="15.6" customHeight="1" x14ac:dyDescent="0.3"/>
    <row r="770" ht="15.6" customHeight="1" x14ac:dyDescent="0.3"/>
    <row r="771" ht="15.6" customHeight="1" x14ac:dyDescent="0.3"/>
    <row r="772" ht="15.6" customHeight="1" x14ac:dyDescent="0.3"/>
    <row r="773" ht="15.6" customHeight="1" x14ac:dyDescent="0.3"/>
    <row r="774" ht="15.6" customHeight="1" x14ac:dyDescent="0.3"/>
    <row r="775" ht="15.6" customHeight="1" x14ac:dyDescent="0.3"/>
    <row r="776" ht="15.6" customHeight="1" x14ac:dyDescent="0.3"/>
    <row r="777" ht="15.6" customHeight="1" x14ac:dyDescent="0.3"/>
    <row r="778" ht="15.6" customHeight="1" x14ac:dyDescent="0.3"/>
    <row r="779" ht="15.6" customHeight="1" x14ac:dyDescent="0.3"/>
    <row r="780" ht="15.6" customHeight="1" x14ac:dyDescent="0.3"/>
    <row r="781" ht="15.6" customHeight="1" x14ac:dyDescent="0.3"/>
    <row r="782" ht="15.6" customHeight="1" x14ac:dyDescent="0.3"/>
    <row r="783" ht="15.6" customHeight="1" x14ac:dyDescent="0.3"/>
    <row r="784" ht="15.6" customHeight="1" x14ac:dyDescent="0.3"/>
    <row r="785" ht="15.6" customHeight="1" x14ac:dyDescent="0.3"/>
    <row r="786" ht="15.6" customHeight="1" x14ac:dyDescent="0.3"/>
    <row r="787" ht="15.6" customHeight="1" x14ac:dyDescent="0.3"/>
    <row r="788" ht="15.6" customHeight="1" x14ac:dyDescent="0.3"/>
    <row r="789" ht="15.6" customHeight="1" x14ac:dyDescent="0.3"/>
    <row r="790" ht="15.6" customHeight="1" x14ac:dyDescent="0.3"/>
    <row r="791" ht="15.6" customHeight="1" x14ac:dyDescent="0.3"/>
    <row r="792" ht="15.6" customHeight="1" x14ac:dyDescent="0.3"/>
    <row r="793" ht="15.6" customHeight="1" x14ac:dyDescent="0.3"/>
    <row r="794" ht="15.6" customHeight="1" x14ac:dyDescent="0.3"/>
    <row r="795" ht="15.6" customHeight="1" x14ac:dyDescent="0.3"/>
    <row r="796" ht="15.6" customHeight="1" x14ac:dyDescent="0.3"/>
    <row r="797" ht="15.6" customHeight="1" x14ac:dyDescent="0.3"/>
    <row r="798" ht="15.6" customHeight="1" x14ac:dyDescent="0.3"/>
    <row r="799" ht="15.6" customHeight="1" x14ac:dyDescent="0.3"/>
    <row r="800" ht="15.6" customHeight="1" x14ac:dyDescent="0.3"/>
    <row r="801" ht="15.6" customHeight="1" x14ac:dyDescent="0.3"/>
    <row r="802" ht="15.6" customHeight="1" x14ac:dyDescent="0.3"/>
    <row r="803" ht="15.6" customHeight="1" x14ac:dyDescent="0.3"/>
    <row r="804" ht="15.6" customHeight="1" x14ac:dyDescent="0.3"/>
    <row r="805" ht="15.6" customHeight="1" x14ac:dyDescent="0.3"/>
    <row r="806" ht="15.6" customHeight="1" x14ac:dyDescent="0.3"/>
    <row r="807" ht="15.6" customHeight="1" x14ac:dyDescent="0.3"/>
    <row r="808" ht="15.6" customHeight="1" x14ac:dyDescent="0.3"/>
    <row r="809" ht="15.6" customHeight="1" x14ac:dyDescent="0.3"/>
    <row r="810" ht="15.6" customHeight="1" x14ac:dyDescent="0.3"/>
    <row r="811" ht="15.6" customHeight="1" x14ac:dyDescent="0.3"/>
    <row r="812" ht="15.6" customHeight="1" x14ac:dyDescent="0.3"/>
    <row r="813" ht="15.6" customHeight="1" x14ac:dyDescent="0.3"/>
    <row r="814" ht="15.6" customHeight="1" x14ac:dyDescent="0.3"/>
    <row r="815" ht="15.6" customHeight="1" x14ac:dyDescent="0.3"/>
    <row r="816" ht="15.6" customHeight="1" x14ac:dyDescent="0.3"/>
    <row r="817" ht="15.6" customHeight="1" x14ac:dyDescent="0.3"/>
    <row r="818" ht="15.6" customHeight="1" x14ac:dyDescent="0.3"/>
    <row r="819" ht="15.6" customHeight="1" x14ac:dyDescent="0.3"/>
    <row r="820" ht="15.6" customHeight="1" x14ac:dyDescent="0.3"/>
    <row r="821" ht="15.6" customHeight="1" x14ac:dyDescent="0.3"/>
    <row r="822" ht="15.6" customHeight="1" x14ac:dyDescent="0.3"/>
    <row r="823" ht="15.6" customHeight="1" x14ac:dyDescent="0.3"/>
    <row r="824" ht="15.6" customHeight="1" x14ac:dyDescent="0.3"/>
    <row r="825" ht="15.6" customHeight="1" x14ac:dyDescent="0.3"/>
    <row r="826" ht="15.6" customHeight="1" x14ac:dyDescent="0.3"/>
    <row r="827" ht="15.6" customHeight="1" x14ac:dyDescent="0.3"/>
    <row r="828" ht="15.6" customHeight="1" x14ac:dyDescent="0.3"/>
    <row r="829" ht="15.6" customHeight="1" x14ac:dyDescent="0.3"/>
    <row r="830" ht="15.6" customHeight="1" x14ac:dyDescent="0.3"/>
    <row r="831" ht="15.6" customHeight="1" x14ac:dyDescent="0.3"/>
    <row r="832" ht="15.6" customHeight="1" x14ac:dyDescent="0.3"/>
    <row r="833" ht="15.6" customHeight="1" x14ac:dyDescent="0.3"/>
    <row r="834" ht="15.6" customHeight="1" x14ac:dyDescent="0.3"/>
    <row r="835" ht="15.6" customHeight="1" x14ac:dyDescent="0.3"/>
    <row r="836" ht="15.6" customHeight="1" x14ac:dyDescent="0.3"/>
    <row r="837" ht="15.6" customHeight="1" x14ac:dyDescent="0.3"/>
    <row r="838" ht="15.6" customHeight="1" x14ac:dyDescent="0.3"/>
    <row r="839" ht="15.6" customHeight="1" x14ac:dyDescent="0.3"/>
    <row r="840" ht="15.6" customHeight="1" x14ac:dyDescent="0.3"/>
    <row r="841" ht="15.6" customHeight="1" x14ac:dyDescent="0.3"/>
    <row r="842" ht="15.6" customHeight="1" x14ac:dyDescent="0.3"/>
    <row r="843" ht="15.6" customHeight="1" x14ac:dyDescent="0.3"/>
    <row r="844" ht="15.6" customHeight="1" x14ac:dyDescent="0.3"/>
    <row r="845" ht="15.6" customHeight="1" x14ac:dyDescent="0.3"/>
    <row r="846" ht="15.6" customHeight="1" x14ac:dyDescent="0.3"/>
    <row r="847" ht="15.6" customHeight="1" x14ac:dyDescent="0.3"/>
    <row r="848" ht="15.6" customHeight="1" x14ac:dyDescent="0.3"/>
    <row r="849" ht="15.6" customHeight="1" x14ac:dyDescent="0.3"/>
    <row r="850" ht="15.6" customHeight="1" x14ac:dyDescent="0.3"/>
    <row r="851" ht="15.6" customHeight="1" x14ac:dyDescent="0.3"/>
    <row r="852" ht="15.6" customHeight="1" x14ac:dyDescent="0.3"/>
    <row r="853" ht="15.6" customHeight="1" x14ac:dyDescent="0.3"/>
    <row r="854" ht="15.6" customHeight="1" x14ac:dyDescent="0.3"/>
    <row r="855" ht="15.6" customHeight="1" x14ac:dyDescent="0.3"/>
    <row r="856" ht="15.6" customHeight="1" x14ac:dyDescent="0.3"/>
    <row r="857" ht="15.6" customHeight="1" x14ac:dyDescent="0.3"/>
    <row r="858" ht="15.6" customHeight="1" x14ac:dyDescent="0.3"/>
    <row r="859" ht="15.6" customHeight="1" x14ac:dyDescent="0.3"/>
    <row r="860" ht="15.6" customHeight="1" x14ac:dyDescent="0.3"/>
    <row r="861" ht="15.6" customHeight="1" x14ac:dyDescent="0.3"/>
    <row r="862" ht="15.6" customHeight="1" x14ac:dyDescent="0.3"/>
    <row r="863" ht="15.6" customHeight="1" x14ac:dyDescent="0.3"/>
    <row r="864" ht="15.6" customHeight="1" x14ac:dyDescent="0.3"/>
    <row r="865" ht="15.6" customHeight="1" x14ac:dyDescent="0.3"/>
    <row r="866" ht="15.6" customHeight="1" x14ac:dyDescent="0.3"/>
    <row r="867" ht="15.6" customHeight="1" x14ac:dyDescent="0.3"/>
    <row r="868" ht="15.6" customHeight="1" x14ac:dyDescent="0.3"/>
    <row r="869" ht="15.6" customHeight="1" x14ac:dyDescent="0.3"/>
    <row r="870" ht="15.6" customHeight="1" x14ac:dyDescent="0.3"/>
    <row r="871" ht="15.6" customHeight="1" x14ac:dyDescent="0.3"/>
    <row r="872" ht="15.6" customHeight="1" x14ac:dyDescent="0.3"/>
    <row r="873" ht="15.6" customHeight="1" x14ac:dyDescent="0.3"/>
    <row r="874" ht="15.6" customHeight="1" x14ac:dyDescent="0.3"/>
    <row r="875" ht="15.6" customHeight="1" x14ac:dyDescent="0.3"/>
    <row r="876" ht="15.6" customHeight="1" x14ac:dyDescent="0.3"/>
    <row r="877" ht="15.6" customHeight="1" x14ac:dyDescent="0.3"/>
    <row r="878" ht="15.6" customHeight="1" x14ac:dyDescent="0.3"/>
    <row r="879" ht="15.6" customHeight="1" x14ac:dyDescent="0.3"/>
    <row r="880" ht="15.6" customHeight="1" x14ac:dyDescent="0.3"/>
    <row r="881" ht="15.6" customHeight="1" x14ac:dyDescent="0.3"/>
    <row r="882" ht="15.6" customHeight="1" x14ac:dyDescent="0.3"/>
    <row r="883" ht="15.6" customHeight="1" x14ac:dyDescent="0.3"/>
    <row r="884" ht="15.6" customHeight="1" x14ac:dyDescent="0.3"/>
    <row r="885" ht="15.6" customHeight="1" x14ac:dyDescent="0.3"/>
    <row r="886" ht="15.6" customHeight="1" x14ac:dyDescent="0.3"/>
    <row r="887" ht="15.6" customHeight="1" x14ac:dyDescent="0.3"/>
    <row r="888" ht="15.6" customHeight="1" x14ac:dyDescent="0.3"/>
    <row r="889" ht="15.6" customHeight="1" x14ac:dyDescent="0.3"/>
    <row r="890" ht="15.6" customHeight="1" x14ac:dyDescent="0.3"/>
    <row r="891" ht="15.6" customHeight="1" x14ac:dyDescent="0.3"/>
    <row r="892" ht="15.6" customHeight="1" x14ac:dyDescent="0.3"/>
    <row r="893" ht="21" customHeight="1" x14ac:dyDescent="0.3"/>
    <row r="894" ht="15.6" customHeight="1" x14ac:dyDescent="0.3"/>
    <row r="895" ht="15.6" customHeight="1" x14ac:dyDescent="0.3"/>
    <row r="896" ht="15.6" customHeight="1" x14ac:dyDescent="0.3"/>
    <row r="897" ht="15.6" customHeight="1" x14ac:dyDescent="0.3"/>
    <row r="898" ht="15.6" customHeight="1" x14ac:dyDescent="0.3"/>
    <row r="899" ht="15.6" customHeight="1" x14ac:dyDescent="0.3"/>
    <row r="900" ht="15.6" customHeight="1" x14ac:dyDescent="0.3"/>
    <row r="901" ht="15.6" customHeight="1" x14ac:dyDescent="0.3"/>
    <row r="902" ht="15.6" customHeight="1" x14ac:dyDescent="0.3"/>
    <row r="903" ht="15.6" customHeight="1" x14ac:dyDescent="0.3"/>
    <row r="904" ht="15.6" customHeight="1" x14ac:dyDescent="0.3"/>
    <row r="905" ht="15.6" customHeight="1" x14ac:dyDescent="0.3"/>
    <row r="906" ht="15.6" customHeight="1" x14ac:dyDescent="0.3"/>
    <row r="907" ht="15.6" customHeight="1" x14ac:dyDescent="0.3"/>
    <row r="908" ht="15.6" customHeight="1" x14ac:dyDescent="0.3"/>
    <row r="909" ht="15.6" customHeight="1" x14ac:dyDescent="0.3"/>
    <row r="910" ht="15.6" customHeight="1" x14ac:dyDescent="0.3"/>
    <row r="911" ht="15.6" customHeight="1" x14ac:dyDescent="0.3"/>
    <row r="912" ht="15.6" customHeight="1" x14ac:dyDescent="0.3"/>
    <row r="913" ht="15.6" customHeight="1" x14ac:dyDescent="0.3"/>
    <row r="914" ht="15.6" customHeight="1" x14ac:dyDescent="0.3"/>
    <row r="915" ht="15.6" customHeight="1" x14ac:dyDescent="0.3"/>
    <row r="916" ht="15.6" customHeight="1" x14ac:dyDescent="0.3"/>
    <row r="917" ht="15.6" customHeight="1" x14ac:dyDescent="0.3"/>
    <row r="918" ht="15.6" customHeight="1" x14ac:dyDescent="0.3"/>
    <row r="919" ht="15.6" customHeight="1" x14ac:dyDescent="0.3"/>
    <row r="920" ht="15.6" customHeight="1" x14ac:dyDescent="0.3"/>
    <row r="921" ht="15.6" customHeight="1" x14ac:dyDescent="0.3"/>
    <row r="922" ht="15.6" customHeight="1" x14ac:dyDescent="0.3"/>
    <row r="923" ht="15.6" customHeight="1" x14ac:dyDescent="0.3"/>
    <row r="924" ht="15.6" customHeight="1" x14ac:dyDescent="0.3"/>
    <row r="925" ht="15.6" customHeight="1" x14ac:dyDescent="0.3"/>
    <row r="926" ht="15.6" customHeight="1" x14ac:dyDescent="0.3"/>
    <row r="927" ht="15.6" customHeight="1" x14ac:dyDescent="0.3"/>
    <row r="928" ht="15.6" customHeight="1" x14ac:dyDescent="0.3"/>
    <row r="929" ht="15.6" customHeight="1" x14ac:dyDescent="0.3"/>
    <row r="930" ht="15.6" customHeight="1" x14ac:dyDescent="0.3"/>
    <row r="931" ht="15.6" customHeight="1" x14ac:dyDescent="0.3"/>
    <row r="932" ht="15.6" customHeight="1" x14ac:dyDescent="0.3"/>
    <row r="933" ht="15.6" customHeight="1" x14ac:dyDescent="0.3"/>
    <row r="934" ht="15.6" customHeight="1" x14ac:dyDescent="0.3"/>
    <row r="935" ht="15.6" customHeight="1" x14ac:dyDescent="0.3"/>
    <row r="936" ht="15.6" customHeight="1" x14ac:dyDescent="0.3"/>
    <row r="937" ht="15.6" customHeight="1" x14ac:dyDescent="0.3"/>
    <row r="938" ht="15.6" customHeight="1" x14ac:dyDescent="0.3"/>
    <row r="939" ht="15.6" customHeight="1" x14ac:dyDescent="0.3"/>
    <row r="940" ht="15.6" customHeight="1" x14ac:dyDescent="0.3"/>
    <row r="941" ht="15.6" customHeight="1" x14ac:dyDescent="0.3"/>
    <row r="942" ht="15.6" customHeight="1" x14ac:dyDescent="0.3"/>
    <row r="943" ht="19.2" customHeight="1" x14ac:dyDescent="0.3"/>
    <row r="944" ht="15.6" customHeight="1" x14ac:dyDescent="0.3"/>
    <row r="945" ht="15.6" customHeight="1" x14ac:dyDescent="0.3"/>
    <row r="946" ht="15.6" customHeight="1" x14ac:dyDescent="0.3"/>
    <row r="947" ht="15.6" customHeight="1" x14ac:dyDescent="0.3"/>
    <row r="948" ht="15.6" customHeight="1" x14ac:dyDescent="0.3"/>
    <row r="949" ht="15.6" customHeight="1" x14ac:dyDescent="0.3"/>
    <row r="950" ht="15.6" customHeight="1" x14ac:dyDescent="0.3"/>
    <row r="951" ht="15.6" customHeight="1" x14ac:dyDescent="0.3"/>
    <row r="952" ht="15.6" customHeight="1" x14ac:dyDescent="0.3"/>
    <row r="953" ht="15.6" customHeight="1" x14ac:dyDescent="0.3"/>
    <row r="954" ht="15.6" customHeight="1" x14ac:dyDescent="0.3"/>
    <row r="955" ht="15.6" customHeight="1" x14ac:dyDescent="0.3"/>
    <row r="956" ht="15.6" customHeight="1" x14ac:dyDescent="0.3"/>
    <row r="957" ht="15.6" customHeight="1" x14ac:dyDescent="0.3"/>
    <row r="958" ht="15.6" customHeight="1" x14ac:dyDescent="0.3"/>
    <row r="959" ht="15.6" customHeight="1" x14ac:dyDescent="0.3"/>
    <row r="960" ht="15.6" customHeight="1" x14ac:dyDescent="0.3"/>
    <row r="961" ht="15.6" customHeight="1" x14ac:dyDescent="0.3"/>
    <row r="962" ht="15.6" customHeight="1" x14ac:dyDescent="0.3"/>
    <row r="963" ht="15.6" customHeight="1" x14ac:dyDescent="0.3"/>
    <row r="964" ht="15.6" customHeight="1" x14ac:dyDescent="0.3"/>
    <row r="965" ht="15.6" customHeight="1" x14ac:dyDescent="0.3"/>
    <row r="966" ht="15.6" customHeight="1" x14ac:dyDescent="0.3"/>
    <row r="967" ht="15.6" customHeight="1" x14ac:dyDescent="0.3"/>
    <row r="968" ht="15.6" customHeight="1" x14ac:dyDescent="0.3"/>
    <row r="969" ht="15.6" customHeight="1" x14ac:dyDescent="0.3"/>
    <row r="970" ht="15.6" customHeight="1" x14ac:dyDescent="0.3"/>
    <row r="971" ht="15.6" customHeight="1" x14ac:dyDescent="0.3"/>
    <row r="972" ht="15.6" customHeight="1" x14ac:dyDescent="0.3"/>
    <row r="1193" ht="20.399999999999999" customHeight="1" x14ac:dyDescent="0.3"/>
    <row r="1480" ht="18.600000000000001" customHeight="1" x14ac:dyDescent="0.3"/>
    <row r="1481" ht="18.600000000000001" customHeight="1" x14ac:dyDescent="0.3"/>
    <row r="1482" ht="18.600000000000001" customHeight="1" x14ac:dyDescent="0.3"/>
    <row r="1483" ht="18.600000000000001" customHeight="1" x14ac:dyDescent="0.3"/>
    <row r="1484" ht="18.600000000000001" customHeight="1" x14ac:dyDescent="0.3"/>
    <row r="1485" ht="18.600000000000001" customHeight="1" x14ac:dyDescent="0.3"/>
    <row r="1486" ht="18.600000000000001" customHeight="1" x14ac:dyDescent="0.3"/>
    <row r="1487" ht="18.600000000000001" customHeight="1" x14ac:dyDescent="0.3"/>
    <row r="1488" ht="18.600000000000001" customHeight="1" x14ac:dyDescent="0.3"/>
    <row r="1489" ht="18.600000000000001" customHeight="1" x14ac:dyDescent="0.3"/>
    <row r="1490" ht="18.600000000000001" customHeight="1" x14ac:dyDescent="0.3"/>
    <row r="1491" ht="18.600000000000001" customHeight="1" x14ac:dyDescent="0.3"/>
    <row r="1492" ht="18.600000000000001" customHeight="1" x14ac:dyDescent="0.3"/>
    <row r="1493" ht="18.600000000000001" customHeight="1" x14ac:dyDescent="0.3"/>
    <row r="1494" ht="18.600000000000001" customHeight="1" x14ac:dyDescent="0.3"/>
    <row r="1495" ht="18.600000000000001" customHeight="1" x14ac:dyDescent="0.3"/>
    <row r="1496" ht="18.600000000000001" customHeight="1" x14ac:dyDescent="0.3"/>
    <row r="1497" ht="18.600000000000001" customHeight="1" x14ac:dyDescent="0.3"/>
    <row r="1498" ht="18.600000000000001" customHeight="1" x14ac:dyDescent="0.3"/>
    <row r="1499" ht="18.600000000000001" customHeight="1" x14ac:dyDescent="0.3"/>
    <row r="1500" ht="18.600000000000001" customHeight="1" x14ac:dyDescent="0.3"/>
    <row r="1501" ht="18.600000000000001" customHeight="1" x14ac:dyDescent="0.3"/>
    <row r="1502" ht="18.600000000000001" customHeight="1" x14ac:dyDescent="0.3"/>
    <row r="1503" ht="18.600000000000001" customHeight="1" x14ac:dyDescent="0.3"/>
    <row r="1504" ht="18.600000000000001" customHeight="1" x14ac:dyDescent="0.3"/>
    <row r="1505" ht="18.600000000000001" customHeight="1" x14ac:dyDescent="0.3"/>
    <row r="1506" ht="18.600000000000001" customHeight="1" x14ac:dyDescent="0.3"/>
    <row r="1507" ht="18.600000000000001" customHeight="1" x14ac:dyDescent="0.3"/>
    <row r="1508" ht="18.600000000000001" customHeight="1" x14ac:dyDescent="0.3"/>
    <row r="1509" ht="18.600000000000001" customHeight="1" x14ac:dyDescent="0.3"/>
    <row r="1510" ht="18.600000000000001" customHeight="1" x14ac:dyDescent="0.3"/>
    <row r="1511" ht="18.600000000000001" customHeight="1" x14ac:dyDescent="0.3"/>
    <row r="1512" ht="18.600000000000001" customHeight="1" x14ac:dyDescent="0.3"/>
    <row r="1513" ht="18.600000000000001" customHeight="1" x14ac:dyDescent="0.3"/>
    <row r="1514" ht="18.600000000000001" customHeight="1" x14ac:dyDescent="0.3"/>
    <row r="1515" ht="18.600000000000001" customHeight="1" x14ac:dyDescent="0.3"/>
    <row r="1516" ht="18.600000000000001" customHeight="1" x14ac:dyDescent="0.3"/>
    <row r="1517" ht="18.600000000000001" customHeight="1" x14ac:dyDescent="0.3"/>
    <row r="1518" ht="18.600000000000001" customHeight="1" x14ac:dyDescent="0.3"/>
    <row r="1519" ht="18.600000000000001" customHeight="1" x14ac:dyDescent="0.3"/>
    <row r="1520" ht="18.600000000000001" customHeight="1" x14ac:dyDescent="0.3"/>
    <row r="1521" ht="18.600000000000001" customHeight="1" x14ac:dyDescent="0.3"/>
    <row r="1522" ht="18.600000000000001" customHeight="1" x14ac:dyDescent="0.3"/>
    <row r="1523" ht="18.600000000000001" customHeight="1" x14ac:dyDescent="0.3"/>
    <row r="1524" ht="18.600000000000001" customHeight="1" x14ac:dyDescent="0.3"/>
    <row r="1525" ht="18.600000000000001" customHeight="1" x14ac:dyDescent="0.3"/>
    <row r="1526" ht="18.600000000000001" customHeight="1" x14ac:dyDescent="0.3"/>
    <row r="1527" ht="18.600000000000001" customHeight="1" x14ac:dyDescent="0.3"/>
    <row r="1528" ht="18.600000000000001" customHeight="1" x14ac:dyDescent="0.3"/>
    <row r="1529" ht="18.600000000000001" customHeight="1" x14ac:dyDescent="0.3"/>
    <row r="1530" ht="18.600000000000001" customHeight="1" x14ac:dyDescent="0.3"/>
    <row r="1531" ht="18.600000000000001" customHeight="1" x14ac:dyDescent="0.3"/>
    <row r="1532" ht="18.600000000000001" customHeight="1" x14ac:dyDescent="0.3"/>
    <row r="1533" ht="18.600000000000001" customHeight="1" x14ac:dyDescent="0.3"/>
    <row r="1534" ht="18.600000000000001" customHeight="1" x14ac:dyDescent="0.3"/>
    <row r="1535" ht="18.600000000000001" customHeight="1" x14ac:dyDescent="0.3"/>
    <row r="1536" ht="18.600000000000001" customHeight="1" x14ac:dyDescent="0.3"/>
    <row r="1537" ht="18.600000000000001" customHeight="1" x14ac:dyDescent="0.3"/>
    <row r="1538" ht="18.600000000000001" customHeight="1" x14ac:dyDescent="0.3"/>
    <row r="1539" ht="18.600000000000001" customHeight="1" x14ac:dyDescent="0.3"/>
    <row r="1540" ht="18.600000000000001" customHeight="1" x14ac:dyDescent="0.3"/>
    <row r="1541" ht="18.600000000000001" customHeight="1" x14ac:dyDescent="0.3"/>
    <row r="1542" ht="18.600000000000001" customHeight="1" x14ac:dyDescent="0.3"/>
    <row r="1544" ht="18.600000000000001" customHeight="1" x14ac:dyDescent="0.3"/>
    <row r="1545" ht="18.600000000000001" customHeight="1" x14ac:dyDescent="0.3"/>
    <row r="1546" ht="14.4" customHeight="1" x14ac:dyDescent="0.3"/>
    <row r="1558" ht="18.600000000000001" customHeight="1" x14ac:dyDescent="0.3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EF29-295F-4833-A6EF-F56CDFDED62C}">
  <sheetPr>
    <tabColor theme="7" tint="-0.249977111117893"/>
  </sheetPr>
  <dimension ref="A1:AG307"/>
  <sheetViews>
    <sheetView showGridLines="0" workbookViewId="0">
      <pane xSplit="3" ySplit="5" topLeftCell="D49" activePane="bottomRight" state="frozen"/>
      <selection pane="topRight" activeCell="D1" sqref="D1"/>
      <selection pane="bottomLeft" activeCell="A6" sqref="A6"/>
      <selection pane="bottomRight" activeCell="C67" sqref="C67"/>
    </sheetView>
  </sheetViews>
  <sheetFormatPr defaultRowHeight="14.4" x14ac:dyDescent="0.3"/>
  <cols>
    <col min="1" max="1" width="3.88671875" customWidth="1"/>
    <col min="2" max="2" width="6.21875" customWidth="1"/>
    <col min="3" max="3" width="35.6640625" customWidth="1"/>
    <col min="4" max="4" width="10.6640625" customWidth="1"/>
    <col min="5" max="5" width="11" customWidth="1"/>
    <col min="10" max="10" width="9.5546875" bestFit="1" customWidth="1"/>
    <col min="11" max="14" width="10.5546875" bestFit="1" customWidth="1"/>
  </cols>
  <sheetData>
    <row r="1" spans="1:33" ht="25.8" x14ac:dyDescent="0.5">
      <c r="A1" s="16"/>
      <c r="B1" s="16"/>
      <c r="C1" s="23" t="s">
        <v>98</v>
      </c>
      <c r="D1" s="16"/>
      <c r="E1" s="16"/>
      <c r="F1" s="16"/>
      <c r="G1" s="16"/>
      <c r="H1" s="16"/>
      <c r="I1" s="16"/>
      <c r="J1" s="16"/>
      <c r="K1" s="18" t="str">
        <f>SCENARIOS!K1</f>
        <v xml:space="preserve"> CURRENTLY RUNNING:   BULL / BEST CASE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4" t="str">
        <f>COVER!B6</f>
        <v>NEXT PLC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1:33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6" t="str">
        <f>'MODEL&amp;SCHEDULE'!M3</f>
        <v>Bal Check:  OK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x14ac:dyDescent="0.3">
      <c r="A4" s="16"/>
      <c r="B4" s="16"/>
      <c r="C4" s="1"/>
      <c r="D4" s="16"/>
      <c r="E4" s="118">
        <f>'HISTORICAL FS'!E4</f>
        <v>44592</v>
      </c>
      <c r="F4" s="118">
        <f>'HISTORICAL FS'!F4</f>
        <v>44957</v>
      </c>
      <c r="G4" s="118">
        <f>'HISTORICAL FS'!G4</f>
        <v>45322</v>
      </c>
      <c r="H4" s="118">
        <f>'HISTORICAL FS'!H4</f>
        <v>45688</v>
      </c>
      <c r="I4" s="118">
        <f>'HISTORICAL FS'!I4</f>
        <v>46053</v>
      </c>
      <c r="J4" s="118">
        <f>'HISTORICAL FS'!J4</f>
        <v>46418</v>
      </c>
      <c r="K4" s="118">
        <f>'HISTORICAL FS'!K4</f>
        <v>46783</v>
      </c>
      <c r="L4" s="118">
        <f>'HISTORICAL FS'!L4</f>
        <v>47149</v>
      </c>
      <c r="M4" s="118">
        <f>'HISTORICAL FS'!M4</f>
        <v>47514</v>
      </c>
      <c r="N4" s="118">
        <f>'HISTORICAL FS'!N4</f>
        <v>47879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x14ac:dyDescent="0.3">
      <c r="A5" s="16"/>
      <c r="B5" s="16"/>
      <c r="C5" s="16"/>
      <c r="D5" s="16"/>
      <c r="E5" s="19">
        <f>'HISTORICAL FS'!E5</f>
        <v>2022</v>
      </c>
      <c r="F5" s="19">
        <f>'HISTORICAL FS'!F5</f>
        <v>2023</v>
      </c>
      <c r="G5" s="19">
        <f>'HISTORICAL FS'!G5</f>
        <v>2024</v>
      </c>
      <c r="H5" s="19">
        <f>'HISTORICAL FS'!H5</f>
        <v>2025</v>
      </c>
      <c r="I5" s="19">
        <f>'HISTORICAL FS'!I5</f>
        <v>2026</v>
      </c>
      <c r="J5" s="20">
        <f>I5+1</f>
        <v>2027</v>
      </c>
      <c r="K5" s="20">
        <f t="shared" ref="K5:N5" si="0">J5+1</f>
        <v>2028</v>
      </c>
      <c r="L5" s="20">
        <f t="shared" si="0"/>
        <v>2029</v>
      </c>
      <c r="M5" s="20">
        <f t="shared" si="0"/>
        <v>2030</v>
      </c>
      <c r="N5" s="20">
        <f t="shared" si="0"/>
        <v>2031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x14ac:dyDescent="0.3">
      <c r="C6" s="2" t="s">
        <v>34</v>
      </c>
      <c r="D6" s="2" t="s">
        <v>35</v>
      </c>
    </row>
    <row r="7" spans="1:33" x14ac:dyDescent="0.3">
      <c r="C7" t="s">
        <v>646</v>
      </c>
      <c r="E7">
        <f>DATE(E5,12,31)-DATE(E5,1,1)+1</f>
        <v>365</v>
      </c>
      <c r="F7">
        <f t="shared" ref="F7:N7" si="1">DATE(F5,12,31)-DATE(F5,1,1)+1</f>
        <v>365</v>
      </c>
      <c r="G7">
        <f t="shared" si="1"/>
        <v>366</v>
      </c>
      <c r="H7">
        <f t="shared" si="1"/>
        <v>365</v>
      </c>
      <c r="I7">
        <f t="shared" si="1"/>
        <v>365</v>
      </c>
      <c r="J7">
        <f t="shared" si="1"/>
        <v>365</v>
      </c>
      <c r="K7">
        <f t="shared" si="1"/>
        <v>366</v>
      </c>
      <c r="L7">
        <f t="shared" si="1"/>
        <v>365</v>
      </c>
      <c r="M7">
        <f t="shared" si="1"/>
        <v>365</v>
      </c>
      <c r="N7">
        <f t="shared" si="1"/>
        <v>365</v>
      </c>
    </row>
    <row r="8" spans="1:33" x14ac:dyDescent="0.3">
      <c r="C8" t="s">
        <v>647</v>
      </c>
      <c r="D8" s="40">
        <v>1000000</v>
      </c>
    </row>
    <row r="9" spans="1:33" x14ac:dyDescent="0.3">
      <c r="C9" t="s">
        <v>1151</v>
      </c>
      <c r="D9" s="40">
        <v>0.1</v>
      </c>
    </row>
    <row r="10" spans="1:33" x14ac:dyDescent="0.3">
      <c r="C10" t="s">
        <v>1210</v>
      </c>
      <c r="D10" s="40">
        <v>12</v>
      </c>
    </row>
    <row r="12" spans="1:33" x14ac:dyDescent="0.3">
      <c r="B12" s="2" t="s">
        <v>26</v>
      </c>
    </row>
    <row r="13" spans="1:33" x14ac:dyDescent="0.3">
      <c r="C13" t="s">
        <v>5</v>
      </c>
      <c r="D13" s="81" t="s">
        <v>104</v>
      </c>
    </row>
    <row r="14" spans="1:33" x14ac:dyDescent="0.3">
      <c r="C14" t="s">
        <v>648</v>
      </c>
      <c r="D14" s="11">
        <v>0.1</v>
      </c>
    </row>
    <row r="15" spans="1:33" x14ac:dyDescent="0.3">
      <c r="C15" t="s">
        <v>103</v>
      </c>
      <c r="D15" s="82" t="s">
        <v>650</v>
      </c>
    </row>
    <row r="16" spans="1:33" x14ac:dyDescent="0.3">
      <c r="C16" t="s">
        <v>6</v>
      </c>
      <c r="D16" t="s">
        <v>8</v>
      </c>
    </row>
    <row r="17" spans="2:9" x14ac:dyDescent="0.3">
      <c r="C17" t="s">
        <v>7</v>
      </c>
      <c r="D17" s="83" t="s">
        <v>650</v>
      </c>
    </row>
    <row r="18" spans="2:9" x14ac:dyDescent="0.3">
      <c r="C18" t="s">
        <v>1380</v>
      </c>
      <c r="D18" s="84" t="s">
        <v>9</v>
      </c>
    </row>
    <row r="19" spans="2:9" x14ac:dyDescent="0.3">
      <c r="C19" t="s">
        <v>96</v>
      </c>
      <c r="D19" s="85" t="s">
        <v>651</v>
      </c>
    </row>
    <row r="20" spans="2:9" x14ac:dyDescent="0.3">
      <c r="C20" t="s">
        <v>649</v>
      </c>
      <c r="D20" s="80">
        <v>10</v>
      </c>
    </row>
    <row r="21" spans="2:9" x14ac:dyDescent="0.3">
      <c r="B21" s="2" t="s">
        <v>37</v>
      </c>
      <c r="D21" s="5"/>
    </row>
    <row r="22" spans="2:9" x14ac:dyDescent="0.3">
      <c r="C22" t="s">
        <v>38</v>
      </c>
      <c r="D22" s="86">
        <v>5</v>
      </c>
    </row>
    <row r="23" spans="2:9" x14ac:dyDescent="0.3">
      <c r="C23" s="2" t="s">
        <v>101</v>
      </c>
    </row>
    <row r="24" spans="2:9" x14ac:dyDescent="0.3">
      <c r="C24" t="s">
        <v>112</v>
      </c>
    </row>
    <row r="25" spans="2:9" x14ac:dyDescent="0.3">
      <c r="C25" t="s">
        <v>110</v>
      </c>
    </row>
    <row r="26" spans="2:9" x14ac:dyDescent="0.3">
      <c r="C26" t="s">
        <v>111</v>
      </c>
      <c r="D26" s="34"/>
    </row>
    <row r="27" spans="2:9" x14ac:dyDescent="0.3">
      <c r="D27" s="5"/>
    </row>
    <row r="28" spans="2:9" x14ac:dyDescent="0.3">
      <c r="D28" s="5"/>
    </row>
    <row r="30" spans="2:9" x14ac:dyDescent="0.3">
      <c r="B30" s="2" t="s">
        <v>10</v>
      </c>
    </row>
    <row r="31" spans="2:9" x14ac:dyDescent="0.3">
      <c r="C31" t="s">
        <v>15</v>
      </c>
    </row>
    <row r="32" spans="2:9" x14ac:dyDescent="0.3">
      <c r="C32" t="s">
        <v>16</v>
      </c>
      <c r="E32" s="35"/>
      <c r="F32" s="35"/>
      <c r="G32" s="36"/>
      <c r="H32" s="36"/>
      <c r="I32" s="35"/>
    </row>
    <row r="33" spans="1:33" x14ac:dyDescent="0.3">
      <c r="C33" t="s">
        <v>17</v>
      </c>
    </row>
    <row r="34" spans="1:33" x14ac:dyDescent="0.3">
      <c r="C34" t="s">
        <v>18</v>
      </c>
    </row>
    <row r="36" spans="1:33" ht="18" x14ac:dyDescent="0.35">
      <c r="A36" s="62" t="s">
        <v>1180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</row>
    <row r="37" spans="1:33" x14ac:dyDescent="0.3">
      <c r="B37" s="2" t="s">
        <v>11</v>
      </c>
    </row>
    <row r="38" spans="1:33" x14ac:dyDescent="0.3">
      <c r="C38" s="2" t="str">
        <f>'rough sheet'!C1045</f>
        <v>SEGMENT</v>
      </c>
    </row>
    <row r="39" spans="1:33" x14ac:dyDescent="0.3">
      <c r="C39" t="str">
        <f>'rough sheet'!C1046</f>
        <v>Online UK</v>
      </c>
      <c r="D39" t="s">
        <v>1022</v>
      </c>
      <c r="I39" s="10"/>
      <c r="J39" s="97">
        <v>0.05</v>
      </c>
      <c r="K39" s="97">
        <v>7.0000000000000007E-2</v>
      </c>
      <c r="L39" s="97">
        <v>0.124</v>
      </c>
      <c r="M39" s="97">
        <v>9.1999999999999998E-2</v>
      </c>
      <c r="N39" s="97">
        <v>6.9000000000000006E-2</v>
      </c>
    </row>
    <row r="40" spans="1:33" x14ac:dyDescent="0.3">
      <c r="C40" t="str">
        <f>'rough sheet'!C1049</f>
        <v>Online (International)</v>
      </c>
      <c r="D40" t="s">
        <v>1022</v>
      </c>
      <c r="I40" s="10"/>
      <c r="J40" s="97">
        <v>5.2999999999999999E-2</v>
      </c>
      <c r="K40" s="97">
        <v>0.08</v>
      </c>
      <c r="L40" s="97">
        <v>7.1999999999999995E-2</v>
      </c>
      <c r="M40" s="97">
        <v>8.5999999999999993E-2</v>
      </c>
      <c r="N40" s="97">
        <v>9.8000000000000004E-2</v>
      </c>
    </row>
    <row r="41" spans="1:33" x14ac:dyDescent="0.3">
      <c r="J41" s="97"/>
      <c r="K41" s="97"/>
      <c r="L41" s="97"/>
      <c r="M41" s="97"/>
      <c r="N41" s="97"/>
    </row>
    <row r="42" spans="1:33" x14ac:dyDescent="0.3">
      <c r="C42" t="str">
        <f>'rough sheet'!C1053</f>
        <v>Retail stores</v>
      </c>
      <c r="D42" t="s">
        <v>1022</v>
      </c>
      <c r="F42" s="10"/>
      <c r="G42" s="10"/>
      <c r="H42" s="10"/>
      <c r="I42" s="10"/>
      <c r="J42" s="97">
        <v>-1.4999999999999999E-2</v>
      </c>
      <c r="K42" s="97">
        <v>1.9E-2</v>
      </c>
      <c r="L42" s="97">
        <v>3.2000000000000001E-2</v>
      </c>
      <c r="M42" s="97">
        <v>3.7999999999999999E-2</v>
      </c>
      <c r="N42" s="97">
        <v>0.05</v>
      </c>
    </row>
    <row r="43" spans="1:33" x14ac:dyDescent="0.3">
      <c r="C43" t="str">
        <f>'rough sheet'!C1057</f>
        <v>Next Finance/credit account interest</v>
      </c>
      <c r="D43" t="s">
        <v>1022</v>
      </c>
      <c r="F43" s="10"/>
      <c r="G43" s="10"/>
      <c r="H43" s="10"/>
      <c r="I43" s="10"/>
      <c r="J43" s="97">
        <v>-1.7487733071638867E-2</v>
      </c>
      <c r="K43" s="97">
        <v>-3.6999999999999998E-2</v>
      </c>
      <c r="L43" s="97">
        <v>7.0000000000000001E-3</v>
      </c>
      <c r="M43" s="97">
        <v>2.8000000000000001E-2</v>
      </c>
      <c r="N43" s="97">
        <v>0.06</v>
      </c>
    </row>
    <row r="44" spans="1:33" x14ac:dyDescent="0.3">
      <c r="C44" t="str">
        <f>'rough sheet'!C1060</f>
        <v>Total Platform +next sale of investment</v>
      </c>
      <c r="D44" t="s">
        <v>1022</v>
      </c>
      <c r="F44" s="10"/>
      <c r="G44" s="10"/>
      <c r="H44" s="10"/>
      <c r="I44" s="10"/>
      <c r="J44" s="97">
        <v>-0.15014253839455299</v>
      </c>
      <c r="K44" s="97">
        <v>-5.5800000000000002E-2</v>
      </c>
      <c r="L44" s="97">
        <v>-2.2969819921914325E-2</v>
      </c>
      <c r="M44" s="97">
        <v>0.11</v>
      </c>
      <c r="N44" s="97">
        <v>4.141509003904284E-2</v>
      </c>
    </row>
    <row r="45" spans="1:33" x14ac:dyDescent="0.3">
      <c r="C45" t="str">
        <f>'rough sheet'!C1066</f>
        <v>Other business Activities</v>
      </c>
      <c r="D45" t="s">
        <v>1022</v>
      </c>
      <c r="F45" s="10"/>
      <c r="G45" s="10"/>
      <c r="H45" s="10"/>
      <c r="I45" s="10"/>
      <c r="J45" s="97">
        <v>8.0296157466178006E-2</v>
      </c>
      <c r="K45" s="97">
        <v>7.0000000000000007E-2</v>
      </c>
      <c r="L45" s="97">
        <v>2.8500000000000001E-2</v>
      </c>
      <c r="M45" s="97">
        <v>4.0000000000000001E-3</v>
      </c>
      <c r="N45" s="97">
        <v>3.4166666666666672E-2</v>
      </c>
    </row>
    <row r="46" spans="1:33" x14ac:dyDescent="0.3">
      <c r="F46" s="10"/>
      <c r="G46" s="10"/>
      <c r="H46" s="10"/>
      <c r="I46" s="10"/>
      <c r="J46" s="60"/>
      <c r="K46" s="60"/>
      <c r="L46" s="60"/>
      <c r="M46" s="60"/>
      <c r="N46" s="60"/>
    </row>
    <row r="47" spans="1:33" x14ac:dyDescent="0.3">
      <c r="J47" s="60"/>
      <c r="K47" s="60"/>
      <c r="L47" s="60"/>
      <c r="M47" s="60"/>
      <c r="N47" s="60"/>
    </row>
    <row r="48" spans="1:33" x14ac:dyDescent="0.3">
      <c r="C48" t="s">
        <v>959</v>
      </c>
      <c r="D48" t="s">
        <v>1022</v>
      </c>
      <c r="F48" s="10"/>
      <c r="G48" s="10"/>
      <c r="H48" s="10"/>
      <c r="I48" s="10"/>
      <c r="J48" s="97">
        <v>0.47792652366416682</v>
      </c>
      <c r="K48" s="97">
        <v>0.46</v>
      </c>
      <c r="L48" s="97">
        <v>0.45</v>
      </c>
      <c r="M48" s="97">
        <v>0.47</v>
      </c>
      <c r="N48" s="97">
        <v>0.45999999999999996</v>
      </c>
    </row>
    <row r="49" spans="2:10" x14ac:dyDescent="0.3">
      <c r="F49" s="10"/>
      <c r="G49" s="10"/>
      <c r="H49" s="10"/>
    </row>
    <row r="52" spans="2:10" x14ac:dyDescent="0.3">
      <c r="J52" s="10"/>
    </row>
    <row r="53" spans="2:10" x14ac:dyDescent="0.3">
      <c r="J53" s="10"/>
    </row>
    <row r="54" spans="2:10" x14ac:dyDescent="0.3">
      <c r="B54" s="2" t="s">
        <v>12</v>
      </c>
    </row>
    <row r="55" spans="2:10" x14ac:dyDescent="0.3">
      <c r="C55" t="s">
        <v>660</v>
      </c>
      <c r="D55" t="s">
        <v>1022</v>
      </c>
      <c r="J55" s="97">
        <v>0.56086810280947685</v>
      </c>
    </row>
    <row r="56" spans="2:10" x14ac:dyDescent="0.3">
      <c r="C56" t="s">
        <v>19</v>
      </c>
      <c r="D56" t="s">
        <v>1022</v>
      </c>
      <c r="J56" s="97">
        <v>0.43451257738323135</v>
      </c>
    </row>
    <row r="57" spans="2:10" x14ac:dyDescent="0.3">
      <c r="C57" t="s">
        <v>20</v>
      </c>
      <c r="D57" t="s">
        <v>1022</v>
      </c>
      <c r="J57" s="97">
        <v>0.14720635225363063</v>
      </c>
    </row>
    <row r="58" spans="2:10" x14ac:dyDescent="0.3">
      <c r="C58" t="s">
        <v>21</v>
      </c>
      <c r="D58" t="s">
        <v>1022</v>
      </c>
      <c r="J58" s="97">
        <v>0.10297190707447981</v>
      </c>
    </row>
    <row r="59" spans="2:10" x14ac:dyDescent="0.3">
      <c r="C59" t="s">
        <v>659</v>
      </c>
      <c r="D59" t="s">
        <v>1022</v>
      </c>
    </row>
    <row r="62" spans="2:10" x14ac:dyDescent="0.3">
      <c r="B62" s="2" t="s">
        <v>665</v>
      </c>
    </row>
    <row r="63" spans="2:10" x14ac:dyDescent="0.3">
      <c r="C63" t="s">
        <v>1345</v>
      </c>
      <c r="D63" t="s">
        <v>1346</v>
      </c>
      <c r="J63" s="93">
        <v>0.25</v>
      </c>
    </row>
    <row r="64" spans="2:10" x14ac:dyDescent="0.3">
      <c r="C64" t="s">
        <v>1053</v>
      </c>
      <c r="D64" t="s">
        <v>1022</v>
      </c>
      <c r="J64" s="97">
        <v>0.95177552145280464</v>
      </c>
    </row>
    <row r="65" spans="1:33" x14ac:dyDescent="0.3">
      <c r="C65" t="s">
        <v>1054</v>
      </c>
      <c r="D65" t="s">
        <v>1022</v>
      </c>
      <c r="J65" s="97">
        <v>4.8224478547195443E-2</v>
      </c>
    </row>
    <row r="66" spans="1:33" x14ac:dyDescent="0.3">
      <c r="C66" t="s">
        <v>1382</v>
      </c>
      <c r="D66" t="s">
        <v>1022</v>
      </c>
      <c r="E66" s="60"/>
      <c r="F66" s="60"/>
      <c r="G66" s="60"/>
      <c r="H66" s="60"/>
      <c r="I66" s="60"/>
      <c r="J66" s="101">
        <v>0.25</v>
      </c>
    </row>
    <row r="67" spans="1:33" x14ac:dyDescent="0.3">
      <c r="C67" t="s">
        <v>1060</v>
      </c>
      <c r="D67" t="s">
        <v>1023</v>
      </c>
      <c r="J67" s="81">
        <v>265</v>
      </c>
    </row>
    <row r="68" spans="1:33" x14ac:dyDescent="0.3">
      <c r="C68" t="s">
        <v>1165</v>
      </c>
      <c r="D68" t="s">
        <v>1022</v>
      </c>
      <c r="J68" s="81">
        <v>5.378973105134488E-2</v>
      </c>
    </row>
    <row r="69" spans="1:33" x14ac:dyDescent="0.3">
      <c r="C69" t="s">
        <v>1302</v>
      </c>
      <c r="J69" s="81">
        <v>5.7997423256263101</v>
      </c>
      <c r="K69" s="81">
        <v>6.7553392302757791</v>
      </c>
      <c r="L69" s="81">
        <v>7.8683854478267534</v>
      </c>
      <c r="M69" s="81">
        <v>9.1648231783978602</v>
      </c>
      <c r="N69" s="81">
        <v>10.674868999268174</v>
      </c>
    </row>
    <row r="71" spans="1:33" ht="18" x14ac:dyDescent="0.35">
      <c r="A71" s="62" t="s">
        <v>979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</row>
    <row r="73" spans="1:33" x14ac:dyDescent="0.3">
      <c r="B73" s="2" t="s">
        <v>13</v>
      </c>
    </row>
    <row r="74" spans="1:33" x14ac:dyDescent="0.3">
      <c r="C74" t="s">
        <v>22</v>
      </c>
      <c r="D74" t="s">
        <v>1021</v>
      </c>
      <c r="J74" s="94">
        <v>170.23890879887563</v>
      </c>
      <c r="K74" s="94">
        <v>175.80963350429101</v>
      </c>
      <c r="L74" s="94">
        <v>180.41284467238805</v>
      </c>
      <c r="M74" s="94">
        <v>178.21712622985072</v>
      </c>
      <c r="N74" s="94">
        <v>180.81320146884329</v>
      </c>
    </row>
    <row r="75" spans="1:33" x14ac:dyDescent="0.3">
      <c r="C75" t="s">
        <v>23</v>
      </c>
      <c r="D75" t="s">
        <v>1021</v>
      </c>
      <c r="J75" s="81">
        <v>99.534975003583199</v>
      </c>
      <c r="K75" s="81">
        <v>96.000779443697994</v>
      </c>
      <c r="L75" s="81">
        <v>90.279249466277193</v>
      </c>
      <c r="M75" s="81">
        <v>92.891408108548063</v>
      </c>
      <c r="N75" s="81">
        <v>91.60391349081371</v>
      </c>
    </row>
    <row r="76" spans="1:33" x14ac:dyDescent="0.3">
      <c r="C76" t="s">
        <v>24</v>
      </c>
      <c r="D76" t="s">
        <v>1021</v>
      </c>
      <c r="J76" s="81">
        <v>34.747341136293144</v>
      </c>
      <c r="K76" s="81">
        <v>36.159350159763399</v>
      </c>
      <c r="L76" s="81">
        <v>32.292110535714379</v>
      </c>
      <c r="M76" s="81">
        <v>34.029823981385697</v>
      </c>
      <c r="N76" s="81">
        <v>28.798093743124156</v>
      </c>
    </row>
    <row r="77" spans="1:33" x14ac:dyDescent="0.3">
      <c r="C77" t="s">
        <v>662</v>
      </c>
    </row>
    <row r="78" spans="1:33" x14ac:dyDescent="0.3">
      <c r="C78" t="s">
        <v>663</v>
      </c>
    </row>
    <row r="79" spans="1:33" x14ac:dyDescent="0.3">
      <c r="C79" t="s">
        <v>1061</v>
      </c>
      <c r="J79" s="81">
        <v>75</v>
      </c>
    </row>
    <row r="81" spans="3:14" x14ac:dyDescent="0.3">
      <c r="C81" s="2" t="s">
        <v>1017</v>
      </c>
    </row>
    <row r="82" spans="3:14" x14ac:dyDescent="0.3">
      <c r="C82" t="s">
        <v>679</v>
      </c>
      <c r="D82" t="s">
        <v>1023</v>
      </c>
      <c r="J82" s="81">
        <v>1323</v>
      </c>
    </row>
    <row r="83" spans="3:14" x14ac:dyDescent="0.3">
      <c r="C83" t="s">
        <v>972</v>
      </c>
      <c r="D83" t="s">
        <v>1022</v>
      </c>
      <c r="J83" s="81">
        <v>3.3086987601475985E-2</v>
      </c>
    </row>
    <row r="84" spans="3:14" x14ac:dyDescent="0.3">
      <c r="C84" s="2" t="s">
        <v>974</v>
      </c>
      <c r="J84" s="81">
        <v>12.083394073154651</v>
      </c>
    </row>
    <row r="85" spans="3:14" x14ac:dyDescent="0.3">
      <c r="C85" t="s">
        <v>480</v>
      </c>
      <c r="D85" t="s">
        <v>1022</v>
      </c>
      <c r="J85" s="97">
        <v>1.0609932951226135E-2</v>
      </c>
    </row>
    <row r="86" spans="3:14" x14ac:dyDescent="0.3">
      <c r="C86" t="s">
        <v>476</v>
      </c>
      <c r="D86" t="s">
        <v>1022</v>
      </c>
      <c r="J86" s="97">
        <v>1.1269230432004947E-2</v>
      </c>
    </row>
    <row r="87" spans="3:14" x14ac:dyDescent="0.3">
      <c r="C87" t="s">
        <v>477</v>
      </c>
      <c r="D87" t="s">
        <v>1022</v>
      </c>
      <c r="J87" s="97">
        <v>7.3463443048772756E-3</v>
      </c>
    </row>
    <row r="88" spans="3:14" x14ac:dyDescent="0.3">
      <c r="C88" t="s">
        <v>478</v>
      </c>
      <c r="D88" t="s">
        <v>1022</v>
      </c>
      <c r="J88" s="97">
        <v>3.8614799133676269E-3</v>
      </c>
    </row>
    <row r="90" spans="3:14" x14ac:dyDescent="0.3">
      <c r="C90" t="s">
        <v>977</v>
      </c>
      <c r="D90" t="s">
        <v>1022</v>
      </c>
      <c r="J90" s="97">
        <v>3.9996575633742447E-2</v>
      </c>
    </row>
    <row r="92" spans="3:14" x14ac:dyDescent="0.3">
      <c r="C92" s="2" t="s">
        <v>1018</v>
      </c>
    </row>
    <row r="93" spans="3:14" x14ac:dyDescent="0.3">
      <c r="C93" t="s">
        <v>985</v>
      </c>
      <c r="D93" t="s">
        <v>1021</v>
      </c>
      <c r="J93" s="81">
        <v>34.747341136293144</v>
      </c>
      <c r="K93" s="81">
        <v>26.159350159763385</v>
      </c>
      <c r="L93" s="81">
        <v>32.292110535714379</v>
      </c>
      <c r="M93" s="81">
        <v>34.029823981385697</v>
      </c>
      <c r="N93" s="81">
        <v>28.798093743124156</v>
      </c>
    </row>
    <row r="94" spans="3:14" x14ac:dyDescent="0.3">
      <c r="C94" t="s">
        <v>987</v>
      </c>
      <c r="D94" t="s">
        <v>1022</v>
      </c>
      <c r="J94" s="97">
        <v>5.0127147936132599E-4</v>
      </c>
    </row>
    <row r="95" spans="3:14" x14ac:dyDescent="0.3">
      <c r="C95" t="s">
        <v>988</v>
      </c>
      <c r="D95" t="s">
        <v>1022</v>
      </c>
      <c r="J95" s="97">
        <v>7.1301750162105063E-2</v>
      </c>
      <c r="K95" s="97">
        <v>7.3202102810938072E-2</v>
      </c>
      <c r="L95" s="97">
        <v>0.11389953395428939</v>
      </c>
      <c r="M95" s="97">
        <v>0.12511848341232229</v>
      </c>
      <c r="N95" s="97">
        <v>9.5880467584913712E-2</v>
      </c>
    </row>
    <row r="97" spans="3:14" x14ac:dyDescent="0.3">
      <c r="C97" t="s">
        <v>989</v>
      </c>
      <c r="D97" t="s">
        <v>1022</v>
      </c>
      <c r="J97" s="97">
        <v>0.12189371929556898</v>
      </c>
    </row>
    <row r="98" spans="3:14" x14ac:dyDescent="0.3">
      <c r="C98" t="s">
        <v>990</v>
      </c>
      <c r="D98" t="s">
        <v>1022</v>
      </c>
      <c r="J98" s="97">
        <v>1.7223598139482495E-2</v>
      </c>
    </row>
    <row r="99" spans="3:14" x14ac:dyDescent="0.3">
      <c r="C99" t="s">
        <v>991</v>
      </c>
      <c r="D99" t="s">
        <v>1023</v>
      </c>
      <c r="J99" s="81">
        <v>0.2</v>
      </c>
    </row>
    <row r="101" spans="3:14" x14ac:dyDescent="0.3">
      <c r="C101" s="2" t="s">
        <v>994</v>
      </c>
    </row>
    <row r="102" spans="3:14" x14ac:dyDescent="0.3">
      <c r="C102" t="s">
        <v>998</v>
      </c>
      <c r="D102" t="s">
        <v>1022</v>
      </c>
      <c r="J102" s="97">
        <v>8.612861556647762E-2</v>
      </c>
    </row>
    <row r="103" spans="3:14" x14ac:dyDescent="0.3">
      <c r="C103" t="s">
        <v>999</v>
      </c>
      <c r="D103" t="s">
        <v>1022</v>
      </c>
      <c r="J103" s="97">
        <v>3.3830800141696621E-2</v>
      </c>
    </row>
    <row r="104" spans="3:14" x14ac:dyDescent="0.3">
      <c r="C104" t="s">
        <v>1000</v>
      </c>
      <c r="D104" t="s">
        <v>1023</v>
      </c>
      <c r="J104" s="81">
        <v>37.85</v>
      </c>
    </row>
    <row r="105" spans="3:14" x14ac:dyDescent="0.3">
      <c r="C105" t="s">
        <v>1001</v>
      </c>
      <c r="D105" t="s">
        <v>1022</v>
      </c>
      <c r="J105" s="97">
        <v>2.13234766567641E-3</v>
      </c>
    </row>
    <row r="106" spans="3:14" x14ac:dyDescent="0.3">
      <c r="C106" t="s">
        <v>1020</v>
      </c>
      <c r="D106" t="s">
        <v>1023</v>
      </c>
      <c r="J106" s="81">
        <v>15.218609865470853</v>
      </c>
      <c r="K106" s="81">
        <v>15.218609865470853</v>
      </c>
      <c r="L106" s="81">
        <v>7.6093049327354265</v>
      </c>
      <c r="M106" s="81">
        <v>7.6093049327354265</v>
      </c>
      <c r="N106" s="81">
        <v>7.6093049327354265</v>
      </c>
    </row>
    <row r="107" spans="3:14" x14ac:dyDescent="0.3">
      <c r="C107" t="s">
        <v>1019</v>
      </c>
      <c r="D107" t="s">
        <v>1023</v>
      </c>
      <c r="J107" s="81">
        <v>201.90000000000003</v>
      </c>
    </row>
    <row r="109" spans="3:14" x14ac:dyDescent="0.3">
      <c r="C109" t="s">
        <v>1033</v>
      </c>
      <c r="D109" t="s">
        <v>1022</v>
      </c>
      <c r="J109" s="97">
        <v>0.15898882989487034</v>
      </c>
    </row>
    <row r="113" spans="2:14" x14ac:dyDescent="0.3">
      <c r="B113" s="2" t="s">
        <v>670</v>
      </c>
    </row>
    <row r="114" spans="2:14" x14ac:dyDescent="0.3">
      <c r="C114" t="s">
        <v>25</v>
      </c>
      <c r="D114" t="s">
        <v>1022</v>
      </c>
      <c r="M114" s="97">
        <v>3.1621516782440101E-2</v>
      </c>
      <c r="N114" s="97">
        <v>2.9760321302868143E-2</v>
      </c>
    </row>
    <row r="115" spans="2:14" x14ac:dyDescent="0.3">
      <c r="C115" t="s">
        <v>791</v>
      </c>
      <c r="D115" t="s">
        <v>1023</v>
      </c>
      <c r="J115" s="81">
        <f>'rough sheet'!J1406</f>
        <v>237</v>
      </c>
      <c r="K115" s="81">
        <f>'rough sheet'!K1406</f>
        <v>245</v>
      </c>
      <c r="L115" s="81">
        <f>'rough sheet'!L1406</f>
        <v>220</v>
      </c>
      <c r="M115" s="81">
        <f>M114*'MODEL&amp;SCHEDULE'!M17</f>
        <v>304.28745786500735</v>
      </c>
      <c r="N115" s="81">
        <f>N114*'MODEL&amp;SCHEDULE'!N17</f>
        <v>310.06185270188558</v>
      </c>
    </row>
    <row r="117" spans="2:14" x14ac:dyDescent="0.3">
      <c r="C117" s="2" t="s">
        <v>664</v>
      </c>
    </row>
    <row r="118" spans="2:14" x14ac:dyDescent="0.3">
      <c r="C118" t="s">
        <v>1082</v>
      </c>
      <c r="D118" t="s">
        <v>1022</v>
      </c>
      <c r="J118" s="97">
        <v>0.1627698806714972</v>
      </c>
    </row>
    <row r="119" spans="2:14" x14ac:dyDescent="0.3">
      <c r="C119" t="s">
        <v>1083</v>
      </c>
      <c r="D119" t="s">
        <v>1022</v>
      </c>
      <c r="J119" s="97">
        <v>0.1878653628545508</v>
      </c>
    </row>
    <row r="120" spans="2:14" x14ac:dyDescent="0.3">
      <c r="C120" t="s">
        <v>1089</v>
      </c>
      <c r="D120" t="s">
        <v>1022</v>
      </c>
      <c r="J120" s="97">
        <v>5.0972390647897395E-2</v>
      </c>
    </row>
    <row r="121" spans="2:14" x14ac:dyDescent="0.3">
      <c r="C121" t="s">
        <v>1090</v>
      </c>
      <c r="D121" t="s">
        <v>1022</v>
      </c>
      <c r="J121" s="97">
        <v>0.3656861860697353</v>
      </c>
    </row>
    <row r="122" spans="2:14" x14ac:dyDescent="0.3">
      <c r="C122" t="s">
        <v>1100</v>
      </c>
      <c r="D122" t="s">
        <v>1022</v>
      </c>
      <c r="J122" s="93">
        <v>0.13963822156717098</v>
      </c>
    </row>
    <row r="123" spans="2:14" x14ac:dyDescent="0.3">
      <c r="C123" t="s">
        <v>1102</v>
      </c>
      <c r="D123" t="s">
        <v>1022</v>
      </c>
      <c r="J123" s="97">
        <v>0.88946529018220666</v>
      </c>
    </row>
    <row r="124" spans="2:14" x14ac:dyDescent="0.3">
      <c r="C124" s="2" t="s">
        <v>1103</v>
      </c>
      <c r="J124" s="97">
        <v>0.11053470981779333</v>
      </c>
    </row>
    <row r="125" spans="2:14" x14ac:dyDescent="0.3">
      <c r="C125" s="2" t="s">
        <v>1095</v>
      </c>
    </row>
    <row r="126" spans="2:14" x14ac:dyDescent="0.3">
      <c r="C126" t="s">
        <v>1092</v>
      </c>
      <c r="D126" t="s">
        <v>1022</v>
      </c>
      <c r="J126" s="97">
        <v>0.82318758209737308</v>
      </c>
    </row>
    <row r="127" spans="2:14" x14ac:dyDescent="0.3">
      <c r="C127" t="s">
        <v>1093</v>
      </c>
      <c r="D127" t="s">
        <v>1022</v>
      </c>
      <c r="J127" s="97">
        <v>0.17681241790262681</v>
      </c>
    </row>
    <row r="128" spans="2:14" x14ac:dyDescent="0.3">
      <c r="C128" s="2" t="s">
        <v>1097</v>
      </c>
    </row>
    <row r="129" spans="2:10" x14ac:dyDescent="0.3">
      <c r="C129" t="s">
        <v>1099</v>
      </c>
      <c r="D129" t="s">
        <v>1022</v>
      </c>
      <c r="J129" s="106">
        <v>1.2992682325098065E-2</v>
      </c>
    </row>
    <row r="130" spans="2:10" x14ac:dyDescent="0.3">
      <c r="C130" s="2"/>
    </row>
    <row r="132" spans="2:10" x14ac:dyDescent="0.3">
      <c r="C132" s="2" t="s">
        <v>904</v>
      </c>
    </row>
    <row r="133" spans="2:10" x14ac:dyDescent="0.3">
      <c r="C133" t="s">
        <v>901</v>
      </c>
      <c r="D133" t="s">
        <v>1022</v>
      </c>
      <c r="J133" s="93">
        <v>0.16476540697802017</v>
      </c>
    </row>
    <row r="134" spans="2:10" x14ac:dyDescent="0.3">
      <c r="C134" t="s">
        <v>905</v>
      </c>
      <c r="J134" s="81">
        <v>0</v>
      </c>
    </row>
    <row r="138" spans="2:10" x14ac:dyDescent="0.3">
      <c r="B138" s="2" t="s">
        <v>661</v>
      </c>
    </row>
    <row r="139" spans="2:10" x14ac:dyDescent="0.3">
      <c r="B139" s="2"/>
      <c r="C139" s="116" t="s">
        <v>1188</v>
      </c>
      <c r="D139" t="s">
        <v>1222</v>
      </c>
    </row>
    <row r="140" spans="2:10" x14ac:dyDescent="0.3">
      <c r="B140" s="2"/>
      <c r="C140" s="2" t="s">
        <v>1205</v>
      </c>
    </row>
    <row r="141" spans="2:10" x14ac:dyDescent="0.3">
      <c r="B141" s="2"/>
      <c r="C141" t="s">
        <v>1220</v>
      </c>
      <c r="D141" s="113">
        <v>3.6249999999999998E-2</v>
      </c>
    </row>
    <row r="142" spans="2:10" x14ac:dyDescent="0.3">
      <c r="B142" s="2"/>
      <c r="C142" t="s">
        <v>1215</v>
      </c>
      <c r="D142" s="113">
        <v>0.05</v>
      </c>
    </row>
    <row r="143" spans="2:10" x14ac:dyDescent="0.3">
      <c r="B143" s="2"/>
      <c r="D143" s="113"/>
    </row>
    <row r="144" spans="2:10" x14ac:dyDescent="0.3">
      <c r="B144" s="2"/>
      <c r="C144" s="2" t="s">
        <v>666</v>
      </c>
    </row>
    <row r="145" spans="2:14" x14ac:dyDescent="0.3">
      <c r="B145" s="2"/>
      <c r="C145" s="2" t="s">
        <v>1211</v>
      </c>
    </row>
    <row r="146" spans="2:14" x14ac:dyDescent="0.3">
      <c r="B146" s="10">
        <v>4.3749999999999997E-2</v>
      </c>
      <c r="C146" t="s">
        <v>1216</v>
      </c>
      <c r="D146" t="s">
        <v>1202</v>
      </c>
    </row>
    <row r="147" spans="2:14" x14ac:dyDescent="0.3">
      <c r="C147" t="s">
        <v>1203</v>
      </c>
      <c r="D147" s="114">
        <v>3.7289999999999997E-2</v>
      </c>
    </row>
    <row r="148" spans="2:14" x14ac:dyDescent="0.3">
      <c r="C148" t="s">
        <v>1204</v>
      </c>
      <c r="D148" s="10">
        <v>1.7000000000000001E-2</v>
      </c>
    </row>
    <row r="149" spans="2:14" x14ac:dyDescent="0.3">
      <c r="D149" s="113">
        <f>D147+D148</f>
        <v>5.4289999999999998E-2</v>
      </c>
    </row>
    <row r="150" spans="2:14" x14ac:dyDescent="0.3">
      <c r="B150" s="2"/>
      <c r="D150" s="113"/>
    </row>
    <row r="151" spans="2:14" x14ac:dyDescent="0.3">
      <c r="B151" s="2"/>
      <c r="C151" s="2" t="s">
        <v>1250</v>
      </c>
    </row>
    <row r="152" spans="2:14" x14ac:dyDescent="0.3">
      <c r="B152" s="2"/>
      <c r="C152" t="s">
        <v>1218</v>
      </c>
      <c r="D152" t="s">
        <v>1023</v>
      </c>
      <c r="I152" s="81">
        <v>112.9</v>
      </c>
    </row>
    <row r="153" spans="2:14" x14ac:dyDescent="0.3">
      <c r="B153" s="2"/>
      <c r="C153" t="s">
        <v>1217</v>
      </c>
      <c r="D153" t="s">
        <v>1023</v>
      </c>
      <c r="I153" s="81">
        <v>300</v>
      </c>
    </row>
    <row r="154" spans="2:14" x14ac:dyDescent="0.3">
      <c r="B154" s="2"/>
      <c r="C154" t="s">
        <v>1219</v>
      </c>
      <c r="D154" t="s">
        <v>1023</v>
      </c>
      <c r="I154" s="81">
        <v>300</v>
      </c>
    </row>
    <row r="155" spans="2:14" x14ac:dyDescent="0.3">
      <c r="B155" s="2"/>
    </row>
    <row r="156" spans="2:14" x14ac:dyDescent="0.3">
      <c r="B156" s="2"/>
      <c r="C156" s="2" t="s">
        <v>213</v>
      </c>
    </row>
    <row r="157" spans="2:14" x14ac:dyDescent="0.3">
      <c r="B157" s="2"/>
      <c r="C157" t="s">
        <v>1218</v>
      </c>
      <c r="D157" t="s">
        <v>1023</v>
      </c>
      <c r="J157" s="81">
        <f>-I152</f>
        <v>-112.9</v>
      </c>
      <c r="K157" s="81">
        <v>0</v>
      </c>
      <c r="L157" s="81">
        <f>K157</f>
        <v>0</v>
      </c>
      <c r="M157" s="81">
        <f t="shared" ref="M157:N157" si="2">L157</f>
        <v>0</v>
      </c>
      <c r="N157" s="81">
        <f t="shared" si="2"/>
        <v>0</v>
      </c>
    </row>
    <row r="158" spans="2:14" x14ac:dyDescent="0.3">
      <c r="B158" s="2"/>
      <c r="C158" t="s">
        <v>1217</v>
      </c>
      <c r="D158" t="s">
        <v>1023</v>
      </c>
      <c r="J158" s="81">
        <v>0</v>
      </c>
      <c r="K158" s="81">
        <v>0</v>
      </c>
      <c r="L158" s="81">
        <f>-I153</f>
        <v>-300</v>
      </c>
      <c r="M158" s="81">
        <v>0</v>
      </c>
      <c r="N158" s="81">
        <v>0</v>
      </c>
    </row>
    <row r="159" spans="2:14" x14ac:dyDescent="0.3">
      <c r="B159" s="2"/>
      <c r="C159" t="s">
        <v>1219</v>
      </c>
      <c r="D159" t="s">
        <v>1023</v>
      </c>
      <c r="J159" s="81">
        <v>0</v>
      </c>
      <c r="K159" s="81">
        <v>0</v>
      </c>
      <c r="L159" s="81">
        <v>0</v>
      </c>
      <c r="M159" s="81">
        <v>0</v>
      </c>
      <c r="N159" s="81">
        <v>0</v>
      </c>
    </row>
    <row r="160" spans="2:14" x14ac:dyDescent="0.3">
      <c r="B160" s="2"/>
    </row>
    <row r="161" spans="2:12" x14ac:dyDescent="0.3">
      <c r="B161" s="2"/>
    </row>
    <row r="162" spans="2:12" x14ac:dyDescent="0.3">
      <c r="B162" s="2"/>
    </row>
    <row r="163" spans="2:12" x14ac:dyDescent="0.3">
      <c r="B163" s="2"/>
      <c r="C163" s="2" t="s">
        <v>1221</v>
      </c>
    </row>
    <row r="164" spans="2:12" x14ac:dyDescent="0.3">
      <c r="B164" s="2"/>
      <c r="C164" t="str">
        <f>C152</f>
        <v>Corporate bonds 4.375% repayable October 2026</v>
      </c>
      <c r="D164" t="s">
        <v>995</v>
      </c>
      <c r="J164" s="81">
        <v>243</v>
      </c>
    </row>
    <row r="165" spans="2:12" x14ac:dyDescent="0.3">
      <c r="B165" s="2"/>
      <c r="C165" t="str">
        <f>C153</f>
        <v>Corporate bonds 3.625% repayable May 2028</v>
      </c>
      <c r="D165" t="s">
        <v>995</v>
      </c>
      <c r="L165" s="81">
        <v>107</v>
      </c>
    </row>
    <row r="166" spans="2:12" x14ac:dyDescent="0.3">
      <c r="B166" s="2"/>
      <c r="C166" t="str">
        <f>C154</f>
        <v>Corporate bonds 5.0% repayable July 2031</v>
      </c>
    </row>
    <row r="167" spans="2:12" x14ac:dyDescent="0.3">
      <c r="B167" s="2"/>
    </row>
    <row r="168" spans="2:12" x14ac:dyDescent="0.3">
      <c r="B168" s="2"/>
    </row>
    <row r="169" spans="2:12" x14ac:dyDescent="0.3">
      <c r="C169" s="2" t="s">
        <v>1224</v>
      </c>
    </row>
    <row r="170" spans="2:12" x14ac:dyDescent="0.3">
      <c r="C170" t="s">
        <v>1230</v>
      </c>
      <c r="D170" t="s">
        <v>1022</v>
      </c>
      <c r="E170" s="60"/>
      <c r="F170" s="60"/>
      <c r="G170" s="60"/>
      <c r="H170" s="60"/>
      <c r="I170" s="60"/>
      <c r="J170" s="81">
        <v>5.4810725552050431E-2</v>
      </c>
    </row>
    <row r="171" spans="2:12" x14ac:dyDescent="0.3">
      <c r="C171" s="2" t="s">
        <v>1231</v>
      </c>
      <c r="E171" s="10"/>
    </row>
    <row r="172" spans="2:12" x14ac:dyDescent="0.3">
      <c r="C172" t="s">
        <v>470</v>
      </c>
      <c r="D172" t="s">
        <v>1022</v>
      </c>
      <c r="I172" s="81">
        <v>0.16813362672534504</v>
      </c>
    </row>
    <row r="173" spans="2:12" x14ac:dyDescent="0.3">
      <c r="C173" t="s">
        <v>1186</v>
      </c>
      <c r="D173" t="s">
        <v>1022</v>
      </c>
      <c r="I173" s="81">
        <v>0.83186637327465496</v>
      </c>
    </row>
    <row r="175" spans="2:12" x14ac:dyDescent="0.3">
      <c r="B175" s="2"/>
    </row>
    <row r="176" spans="2:12" x14ac:dyDescent="0.3">
      <c r="B176" s="2"/>
      <c r="C176" s="2" t="s">
        <v>1236</v>
      </c>
    </row>
    <row r="177" spans="2:10" x14ac:dyDescent="0.3">
      <c r="B177" s="2"/>
      <c r="C177" t="s">
        <v>1237</v>
      </c>
      <c r="D177" s="81">
        <f>(2.15%+2.9%)/2</f>
        <v>2.5249999999999998E-2</v>
      </c>
      <c r="J177" s="81" t="s">
        <v>1238</v>
      </c>
    </row>
    <row r="178" spans="2:10" x14ac:dyDescent="0.3">
      <c r="B178" s="2"/>
    </row>
    <row r="179" spans="2:10" x14ac:dyDescent="0.3">
      <c r="B179" s="2"/>
      <c r="C179" s="2" t="s">
        <v>1239</v>
      </c>
    </row>
    <row r="180" spans="2:10" x14ac:dyDescent="0.3">
      <c r="B180" s="2"/>
      <c r="C180" t="s">
        <v>1240</v>
      </c>
      <c r="D180" s="81">
        <v>3.7499999999999999E-2</v>
      </c>
    </row>
    <row r="181" spans="2:10" x14ac:dyDescent="0.3">
      <c r="B181" s="2"/>
      <c r="C181" t="s">
        <v>1241</v>
      </c>
      <c r="D181" s="81">
        <v>2.5000000000000001E-3</v>
      </c>
    </row>
    <row r="182" spans="2:10" x14ac:dyDescent="0.3">
      <c r="B182" s="2"/>
      <c r="C182" s="2" t="s">
        <v>1252</v>
      </c>
      <c r="D182" s="81">
        <f>D180+D181</f>
        <v>0.04</v>
      </c>
    </row>
    <row r="183" spans="2:10" x14ac:dyDescent="0.3">
      <c r="B183" s="2"/>
      <c r="D183" s="81"/>
    </row>
    <row r="184" spans="2:10" x14ac:dyDescent="0.3">
      <c r="B184" s="2"/>
      <c r="C184" s="2" t="s">
        <v>1253</v>
      </c>
    </row>
    <row r="185" spans="2:10" x14ac:dyDescent="0.3">
      <c r="B185" s="2"/>
      <c r="C185" t="str">
        <f>C147</f>
        <v>SONIA</v>
      </c>
      <c r="D185" s="60">
        <f>D147</f>
        <v>3.7289999999999997E-2</v>
      </c>
    </row>
    <row r="186" spans="2:10" x14ac:dyDescent="0.3">
      <c r="B186" s="2"/>
      <c r="C186" t="s">
        <v>1265</v>
      </c>
      <c r="D186" s="60">
        <v>0.01</v>
      </c>
    </row>
    <row r="187" spans="2:10" x14ac:dyDescent="0.3">
      <c r="B187" s="2"/>
      <c r="C187" s="2"/>
      <c r="D187" s="61">
        <f>SUM(D185:D186)</f>
        <v>4.7289999999999999E-2</v>
      </c>
    </row>
    <row r="188" spans="2:10" x14ac:dyDescent="0.3">
      <c r="B188" s="2"/>
      <c r="C188" s="2"/>
    </row>
    <row r="189" spans="2:10" x14ac:dyDescent="0.3">
      <c r="B189" s="2"/>
      <c r="C189" t="s">
        <v>1251</v>
      </c>
      <c r="I189" s="81">
        <v>0.01</v>
      </c>
    </row>
    <row r="190" spans="2:10" x14ac:dyDescent="0.3">
      <c r="B190" s="2"/>
      <c r="C190" s="2" t="s">
        <v>1254</v>
      </c>
    </row>
    <row r="191" spans="2:10" x14ac:dyDescent="0.3">
      <c r="B191" s="2"/>
      <c r="C191" t="s">
        <v>1272</v>
      </c>
      <c r="D191" t="s">
        <v>1022</v>
      </c>
      <c r="J191" s="97">
        <v>0.51663201663201663</v>
      </c>
    </row>
    <row r="192" spans="2:10" x14ac:dyDescent="0.3">
      <c r="B192" s="2"/>
    </row>
    <row r="193" spans="2:14" x14ac:dyDescent="0.3">
      <c r="B193" s="2"/>
      <c r="C193" s="2" t="s">
        <v>1273</v>
      </c>
    </row>
    <row r="194" spans="2:14" x14ac:dyDescent="0.3">
      <c r="B194" s="2"/>
      <c r="C194" t="str">
        <f>C180</f>
        <v>Current Bank Rate</v>
      </c>
      <c r="D194" s="60">
        <f>D180</f>
        <v>3.7499999999999999E-2</v>
      </c>
    </row>
    <row r="195" spans="2:14" x14ac:dyDescent="0.3">
      <c r="B195" s="2"/>
    </row>
    <row r="196" spans="2:14" x14ac:dyDescent="0.3">
      <c r="B196" s="2"/>
    </row>
    <row r="197" spans="2:14" x14ac:dyDescent="0.3">
      <c r="B197" s="2"/>
      <c r="C197" t="s">
        <v>1199</v>
      </c>
      <c r="J197" s="97">
        <v>1.8919614275049811E-2</v>
      </c>
    </row>
    <row r="198" spans="2:14" x14ac:dyDescent="0.3">
      <c r="B198" s="2"/>
    </row>
    <row r="199" spans="2:14" x14ac:dyDescent="0.3">
      <c r="B199" s="2"/>
    </row>
    <row r="200" spans="2:14" x14ac:dyDescent="0.3">
      <c r="B200" s="2"/>
    </row>
    <row r="203" spans="2:14" x14ac:dyDescent="0.3">
      <c r="B203" s="2" t="s">
        <v>667</v>
      </c>
    </row>
    <row r="204" spans="2:14" x14ac:dyDescent="0.3">
      <c r="C204" t="s">
        <v>668</v>
      </c>
      <c r="D204" t="s">
        <v>1023</v>
      </c>
      <c r="J204" s="107">
        <v>0.5</v>
      </c>
      <c r="K204" s="107">
        <v>0.3</v>
      </c>
      <c r="L204" s="107">
        <v>0.3</v>
      </c>
      <c r="M204" s="107">
        <v>0.3</v>
      </c>
      <c r="N204" s="107">
        <v>0.35000000000000003</v>
      </c>
    </row>
    <row r="205" spans="2:14" x14ac:dyDescent="0.3">
      <c r="C205" t="s">
        <v>669</v>
      </c>
      <c r="D205" t="s">
        <v>1022</v>
      </c>
    </row>
    <row r="206" spans="2:14" x14ac:dyDescent="0.3">
      <c r="C206" t="s">
        <v>1132</v>
      </c>
      <c r="J206" s="81">
        <v>324</v>
      </c>
      <c r="K206" s="81">
        <v>360</v>
      </c>
      <c r="L206" s="81">
        <v>390</v>
      </c>
      <c r="M206" s="81">
        <v>425</v>
      </c>
      <c r="N206" s="81">
        <v>460</v>
      </c>
    </row>
    <row r="207" spans="2:14" x14ac:dyDescent="0.3">
      <c r="C207" t="s">
        <v>1133</v>
      </c>
      <c r="J207" s="81">
        <v>318</v>
      </c>
      <c r="K207" s="81">
        <v>347.47142327345603</v>
      </c>
      <c r="L207" s="81">
        <v>379.01762937240801</v>
      </c>
      <c r="M207" s="81">
        <v>411.24841618479502</v>
      </c>
      <c r="N207" s="81">
        <v>442.88278505539398</v>
      </c>
    </row>
    <row r="208" spans="2:14" x14ac:dyDescent="0.3">
      <c r="C208" t="s">
        <v>1152</v>
      </c>
      <c r="D208" t="s">
        <v>1023</v>
      </c>
      <c r="J208" s="81">
        <v>500</v>
      </c>
    </row>
    <row r="209" spans="2:33" x14ac:dyDescent="0.3">
      <c r="C209" t="s">
        <v>1136</v>
      </c>
      <c r="J209" s="81">
        <v>0.36</v>
      </c>
    </row>
    <row r="210" spans="2:33" x14ac:dyDescent="0.3">
      <c r="C210" t="str">
        <f>'rough sheet'!C1356</f>
        <v>Dividend yield</v>
      </c>
      <c r="J210" s="81">
        <f>'rough sheet'!J1356</f>
        <v>2.1999999999999999E-2</v>
      </c>
    </row>
    <row r="211" spans="2:33" x14ac:dyDescent="0.3">
      <c r="C211" t="s">
        <v>1126</v>
      </c>
      <c r="J211" s="81">
        <v>2.8</v>
      </c>
    </row>
    <row r="212" spans="2:33" x14ac:dyDescent="0.3">
      <c r="C212" t="s">
        <v>1148</v>
      </c>
      <c r="D212" t="s">
        <v>1150</v>
      </c>
      <c r="J212" s="81" t="s">
        <v>1149</v>
      </c>
    </row>
    <row r="213" spans="2:33" x14ac:dyDescent="0.3">
      <c r="C213" t="s">
        <v>1159</v>
      </c>
      <c r="J213" s="112">
        <v>96</v>
      </c>
    </row>
    <row r="214" spans="2:33" x14ac:dyDescent="0.3">
      <c r="C214" t="s">
        <v>1161</v>
      </c>
      <c r="J214" s="81">
        <v>-64</v>
      </c>
    </row>
    <row r="215" spans="2:33" x14ac:dyDescent="0.3">
      <c r="C215" t="s">
        <v>1162</v>
      </c>
      <c r="J215" s="81">
        <v>105</v>
      </c>
    </row>
    <row r="217" spans="2:33" x14ac:dyDescent="0.3">
      <c r="C217" s="2" t="s">
        <v>1177</v>
      </c>
    </row>
    <row r="218" spans="2:33" x14ac:dyDescent="0.3">
      <c r="C218" t="s">
        <v>1173</v>
      </c>
      <c r="J218" s="81">
        <v>0.182592592592593</v>
      </c>
      <c r="K218" s="81">
        <v>0.1593</v>
      </c>
      <c r="L218" s="81">
        <v>0.207012345679012</v>
      </c>
      <c r="M218" s="81">
        <v>0.150905349794239</v>
      </c>
      <c r="N218" s="81">
        <v>0.12123456790122999</v>
      </c>
    </row>
    <row r="219" spans="2:33" x14ac:dyDescent="0.3">
      <c r="C219" t="s">
        <v>1298</v>
      </c>
      <c r="J219" s="81">
        <v>8</v>
      </c>
      <c r="K219" s="81">
        <v>8</v>
      </c>
      <c r="L219" s="81">
        <v>8</v>
      </c>
      <c r="M219" s="81">
        <v>8</v>
      </c>
      <c r="N219" s="81">
        <v>8</v>
      </c>
    </row>
    <row r="220" spans="2:33" x14ac:dyDescent="0.3">
      <c r="C220" t="s">
        <v>1175</v>
      </c>
      <c r="J220" s="81">
        <v>2</v>
      </c>
    </row>
    <row r="224" spans="2:33" ht="18" x14ac:dyDescent="0.35">
      <c r="B224" s="152" t="s">
        <v>1309</v>
      </c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</row>
    <row r="231" spans="2:33" ht="21" x14ac:dyDescent="0.4">
      <c r="B231" s="135"/>
      <c r="C231" s="150" t="s">
        <v>1308</v>
      </c>
      <c r="D231" s="135"/>
      <c r="E231" s="135"/>
      <c r="F231" s="135"/>
      <c r="G231" s="135"/>
      <c r="H231" s="135"/>
      <c r="I231" s="135"/>
      <c r="J231" s="151"/>
      <c r="K231" s="151"/>
      <c r="L231" s="151"/>
      <c r="M231" s="151"/>
      <c r="N231" s="151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</row>
    <row r="232" spans="2:33" x14ac:dyDescent="0.3"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2:33" x14ac:dyDescent="0.3">
      <c r="C233" s="2" t="s">
        <v>421</v>
      </c>
      <c r="J233" s="81">
        <v>7300</v>
      </c>
      <c r="K233" s="10"/>
      <c r="L233" s="10"/>
      <c r="M233" s="10"/>
      <c r="N233" s="10"/>
    </row>
    <row r="234" spans="2:33" x14ac:dyDescent="0.3">
      <c r="C234" t="s">
        <v>652</v>
      </c>
      <c r="D234" t="s">
        <v>1022</v>
      </c>
      <c r="J234" s="81">
        <v>4.5999999999999999E-2</v>
      </c>
      <c r="K234" s="10"/>
      <c r="L234" s="10"/>
      <c r="M234" s="10"/>
      <c r="N234" s="10"/>
    </row>
    <row r="235" spans="2:33" x14ac:dyDescent="0.3">
      <c r="K235" s="10"/>
      <c r="L235" s="10"/>
      <c r="M235" s="10"/>
      <c r="N235" s="10"/>
    </row>
    <row r="236" spans="2:33" x14ac:dyDescent="0.3">
      <c r="K236" s="10"/>
      <c r="L236" s="10"/>
      <c r="M236" s="10"/>
      <c r="N236" s="10"/>
    </row>
    <row r="237" spans="2:33" x14ac:dyDescent="0.3">
      <c r="C237" s="2" t="s">
        <v>386</v>
      </c>
      <c r="J237" s="81">
        <v>5900</v>
      </c>
      <c r="K237" s="10"/>
      <c r="L237" s="10"/>
      <c r="M237" s="10"/>
      <c r="N237" s="10"/>
    </row>
    <row r="238" spans="2:33" x14ac:dyDescent="0.3">
      <c r="C238" t="s">
        <v>582</v>
      </c>
      <c r="D238" t="s">
        <v>1022</v>
      </c>
      <c r="J238" s="81">
        <v>4.4999999999999998E-2</v>
      </c>
      <c r="K238" s="10"/>
      <c r="L238" s="10"/>
      <c r="M238" s="10"/>
      <c r="N238" s="10"/>
    </row>
    <row r="239" spans="2:33" x14ac:dyDescent="0.3">
      <c r="K239" s="10"/>
      <c r="L239" s="10"/>
      <c r="M239" s="10"/>
      <c r="N239" s="10"/>
    </row>
    <row r="240" spans="2:33" x14ac:dyDescent="0.3">
      <c r="C240" s="2" t="s">
        <v>584</v>
      </c>
      <c r="J240" s="81"/>
    </row>
    <row r="241" spans="3:10" x14ac:dyDescent="0.3">
      <c r="C241" t="s">
        <v>594</v>
      </c>
      <c r="D241" t="s">
        <v>1022</v>
      </c>
      <c r="J241" s="97">
        <v>-1.4999999999999999E-2</v>
      </c>
    </row>
    <row r="242" spans="3:10" x14ac:dyDescent="0.3">
      <c r="C242" t="s">
        <v>583</v>
      </c>
      <c r="D242" t="s">
        <v>1022</v>
      </c>
      <c r="J242" s="97">
        <v>4.5999999999999999E-2</v>
      </c>
    </row>
    <row r="243" spans="3:10" x14ac:dyDescent="0.3">
      <c r="C243" s="2" t="s">
        <v>585</v>
      </c>
      <c r="D243" t="s">
        <v>1022</v>
      </c>
      <c r="J243" s="97">
        <v>2.1999999999999999E-2</v>
      </c>
    </row>
    <row r="244" spans="3:10" x14ac:dyDescent="0.3">
      <c r="C244" t="s">
        <v>586</v>
      </c>
      <c r="D244" t="s">
        <v>1022</v>
      </c>
      <c r="J244" s="97">
        <v>0.14299999999999999</v>
      </c>
    </row>
    <row r="245" spans="3:10" x14ac:dyDescent="0.3">
      <c r="C245" s="2" t="s">
        <v>587</v>
      </c>
      <c r="D245" t="s">
        <v>1022</v>
      </c>
      <c r="J245" s="97">
        <v>4.8000000000000001E-2</v>
      </c>
    </row>
    <row r="246" spans="3:10" x14ac:dyDescent="0.3">
      <c r="C246" t="s">
        <v>588</v>
      </c>
      <c r="D246" t="s">
        <v>1022</v>
      </c>
      <c r="J246" s="97">
        <v>-6.0000000000000001E-3</v>
      </c>
    </row>
    <row r="247" spans="3:10" x14ac:dyDescent="0.3">
      <c r="C247" s="2" t="s">
        <v>394</v>
      </c>
      <c r="D247" t="s">
        <v>1022</v>
      </c>
      <c r="J247" s="97">
        <v>4.4999999999999998E-2</v>
      </c>
    </row>
    <row r="249" spans="3:10" x14ac:dyDescent="0.3">
      <c r="C249" s="2" t="s">
        <v>602</v>
      </c>
      <c r="D249" t="s">
        <v>1022</v>
      </c>
      <c r="J249" s="97">
        <v>0.14299999999999999</v>
      </c>
    </row>
    <row r="250" spans="3:10" x14ac:dyDescent="0.3">
      <c r="C250" t="s">
        <v>603</v>
      </c>
      <c r="D250" t="s">
        <v>1022</v>
      </c>
      <c r="J250" s="97">
        <v>0.153</v>
      </c>
    </row>
    <row r="254" spans="3:10" x14ac:dyDescent="0.3">
      <c r="C254" t="str">
        <f>'rough sheet'!C1448</f>
        <v>Operational cashflow</v>
      </c>
      <c r="J254" s="81">
        <f>'rough sheet'!J1448</f>
        <v>978</v>
      </c>
    </row>
    <row r="258" spans="3:10" ht="15.6" x14ac:dyDescent="0.3">
      <c r="D258" s="37"/>
    </row>
    <row r="259" spans="3:10" x14ac:dyDescent="0.3">
      <c r="C259" s="2" t="s">
        <v>595</v>
      </c>
    </row>
    <row r="261" spans="3:10" x14ac:dyDescent="0.3">
      <c r="C261" s="2" t="s">
        <v>589</v>
      </c>
      <c r="J261">
        <v>1210</v>
      </c>
    </row>
    <row r="262" spans="3:10" x14ac:dyDescent="0.3">
      <c r="C262" t="s">
        <v>590</v>
      </c>
      <c r="J262" s="10">
        <v>4.4999999999999998E-2</v>
      </c>
    </row>
    <row r="264" spans="3:10" x14ac:dyDescent="0.3">
      <c r="C264" s="2" t="s">
        <v>591</v>
      </c>
      <c r="J264" t="s">
        <v>592</v>
      </c>
    </row>
    <row r="265" spans="3:10" x14ac:dyDescent="0.3">
      <c r="C265" t="s">
        <v>593</v>
      </c>
      <c r="J265" s="10">
        <v>5.8000000000000003E-2</v>
      </c>
    </row>
    <row r="267" spans="3:10" x14ac:dyDescent="0.3">
      <c r="C267" s="2" t="s">
        <v>596</v>
      </c>
      <c r="J267" t="s">
        <v>597</v>
      </c>
    </row>
    <row r="268" spans="3:10" x14ac:dyDescent="0.3">
      <c r="C268" t="s">
        <v>598</v>
      </c>
      <c r="J268" s="10">
        <v>9.7000000000000003E-2</v>
      </c>
    </row>
    <row r="270" spans="3:10" x14ac:dyDescent="0.3">
      <c r="C270" s="2" t="s">
        <v>583</v>
      </c>
    </row>
    <row r="271" spans="3:10" x14ac:dyDescent="0.3">
      <c r="C271" t="s">
        <v>599</v>
      </c>
    </row>
    <row r="272" spans="3:10" x14ac:dyDescent="0.3">
      <c r="C272" t="s">
        <v>600</v>
      </c>
      <c r="J272" s="10">
        <v>0.221</v>
      </c>
    </row>
    <row r="273" spans="3:10" x14ac:dyDescent="0.3">
      <c r="C273" t="s">
        <v>601</v>
      </c>
      <c r="J273" s="10">
        <v>0.14699999999999999</v>
      </c>
    </row>
    <row r="275" spans="3:10" x14ac:dyDescent="0.3">
      <c r="C275" s="2" t="s">
        <v>604</v>
      </c>
    </row>
    <row r="276" spans="3:10" x14ac:dyDescent="0.3">
      <c r="C276" t="s">
        <v>605</v>
      </c>
      <c r="J276" t="s">
        <v>606</v>
      </c>
    </row>
    <row r="277" spans="3:10" x14ac:dyDescent="0.3">
      <c r="C277" t="s">
        <v>607</v>
      </c>
      <c r="J277" t="s">
        <v>420</v>
      </c>
    </row>
    <row r="280" spans="3:10" x14ac:dyDescent="0.3">
      <c r="C280" s="2" t="s">
        <v>608</v>
      </c>
      <c r="J280" t="s">
        <v>609</v>
      </c>
    </row>
    <row r="281" spans="3:10" x14ac:dyDescent="0.3">
      <c r="C281" t="s">
        <v>610</v>
      </c>
      <c r="J281" s="11">
        <v>0.36</v>
      </c>
    </row>
    <row r="282" spans="3:10" x14ac:dyDescent="0.3">
      <c r="C282" t="s">
        <v>611</v>
      </c>
      <c r="J282">
        <v>2.8</v>
      </c>
    </row>
    <row r="283" spans="3:10" x14ac:dyDescent="0.3">
      <c r="C283" t="s">
        <v>612</v>
      </c>
    </row>
    <row r="286" spans="3:10" x14ac:dyDescent="0.3">
      <c r="C286" s="2" t="s">
        <v>613</v>
      </c>
      <c r="J286" t="s">
        <v>614</v>
      </c>
    </row>
    <row r="289" spans="1:33" x14ac:dyDescent="0.3">
      <c r="C289" s="2" t="str">
        <f>'rough sheet'!C1457</f>
        <v xml:space="preserve">Financing </v>
      </c>
    </row>
    <row r="290" spans="1:33" x14ac:dyDescent="0.3">
      <c r="C290" t="s">
        <v>1184</v>
      </c>
      <c r="K290" s="81">
        <f>'rough sheet'!K1458</f>
        <v>300</v>
      </c>
      <c r="N290" s="81">
        <f>'rough sheet'!N1458</f>
        <v>300</v>
      </c>
    </row>
    <row r="291" spans="1:33" x14ac:dyDescent="0.3">
      <c r="C291" t="str">
        <f>'rough sheet'!C1459</f>
        <v>Net debt</v>
      </c>
      <c r="J291" s="81">
        <f>'rough sheet'!J1459</f>
        <v>790</v>
      </c>
    </row>
    <row r="292" spans="1:33" x14ac:dyDescent="0.3">
      <c r="C292" t="str">
        <f>'rough sheet'!C1460</f>
        <v>Net debt and financing</v>
      </c>
      <c r="J292" s="81">
        <f>'rough sheet'!J1460</f>
        <v>1125</v>
      </c>
    </row>
    <row r="294" spans="1:33" x14ac:dyDescent="0.3">
      <c r="C294" t="s">
        <v>933</v>
      </c>
      <c r="J294" s="81">
        <v>790</v>
      </c>
    </row>
    <row r="298" spans="1:33" x14ac:dyDescent="0.3">
      <c r="A298" s="135"/>
      <c r="B298" s="135"/>
      <c r="C298" s="149" t="s">
        <v>14</v>
      </c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</row>
    <row r="299" spans="1:33" x14ac:dyDescent="0.3">
      <c r="C299" t="s">
        <v>27</v>
      </c>
      <c r="D299" s="35">
        <v>4.4664000000000002E-2</v>
      </c>
    </row>
    <row r="300" spans="1:33" x14ac:dyDescent="0.3">
      <c r="C300" t="s">
        <v>28</v>
      </c>
      <c r="D300" s="35">
        <v>4.5803769702715401E-2</v>
      </c>
    </row>
    <row r="301" spans="1:33" x14ac:dyDescent="0.3">
      <c r="C301" t="s">
        <v>29</v>
      </c>
    </row>
    <row r="302" spans="1:33" x14ac:dyDescent="0.3">
      <c r="C302" t="s">
        <v>30</v>
      </c>
    </row>
    <row r="303" spans="1:33" x14ac:dyDescent="0.3">
      <c r="C303" t="s">
        <v>31</v>
      </c>
    </row>
    <row r="304" spans="1:33" x14ac:dyDescent="0.3">
      <c r="C304" t="s">
        <v>32</v>
      </c>
    </row>
    <row r="305" spans="3:4" x14ac:dyDescent="0.3">
      <c r="C305" t="s">
        <v>33</v>
      </c>
    </row>
    <row r="307" spans="3:4" ht="15.6" x14ac:dyDescent="0.3">
      <c r="C307" t="s">
        <v>42</v>
      </c>
      <c r="D307" s="37">
        <v>0.74973116649101423</v>
      </c>
    </row>
  </sheetData>
  <hyperlinks>
    <hyperlink ref="D147" r:id="rId1" display="https://www.bankofengland.co.uk/boeapps/database/fromshowcolumns.asp?Travel=NIxSUx&amp;FromSeries=1&amp;ToSeries=50&amp;DAT=RNG&amp;FD=1&amp;FM=Jan&amp;FY=2014&amp;TD=6&amp;TM=Dec&amp;TY=2040&amp;FNY=&amp;CSVF=TT&amp;html.x=180&amp;html.y=34&amp;C=5JK&amp;Filter=N" xr:uid="{9ADF28A1-82DE-40FA-9C3A-F204B61E45CA}"/>
    <hyperlink ref="C139" r:id="rId2" xr:uid="{4756B018-6064-4BA9-8C8D-476A689A008F}"/>
    <hyperlink ref="D180" r:id="rId3" display="https://www.bankofengland.co.uk/monetary-policy/the-interest-rate-bank-rate" xr:uid="{C8CD95E1-3480-460A-9A35-777960C3FBFE}"/>
  </hyperlinks>
  <pageMargins left="0.7" right="0.7" top="0.75" bottom="0.75" header="0.3" footer="0.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5D25-822D-4063-8F80-4B0206C65EAE}">
  <sheetPr>
    <tabColor rgb="FF7030A0"/>
  </sheetPr>
  <dimension ref="A1:AL83"/>
  <sheetViews>
    <sheetView showGridLines="0" zoomScale="88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29" sqref="E29"/>
    </sheetView>
  </sheetViews>
  <sheetFormatPr defaultRowHeight="14.4" x14ac:dyDescent="0.3"/>
  <cols>
    <col min="1" max="1" width="4.6640625" customWidth="1"/>
    <col min="2" max="2" width="5.6640625" customWidth="1"/>
    <col min="3" max="3" width="31.77734375" customWidth="1"/>
    <col min="4" max="4" width="9.109375" customWidth="1"/>
    <col min="5" max="5" width="8.77734375" customWidth="1"/>
    <col min="6" max="6" width="9" customWidth="1"/>
    <col min="7" max="7" width="8.33203125" customWidth="1"/>
    <col min="8" max="8" width="10.5546875" customWidth="1"/>
    <col min="9" max="9" width="12.33203125" customWidth="1"/>
    <col min="10" max="10" width="10.109375" bestFit="1" customWidth="1"/>
    <col min="11" max="11" width="11.109375" customWidth="1"/>
    <col min="12" max="12" width="13.6640625" customWidth="1"/>
    <col min="13" max="13" width="13.21875" customWidth="1"/>
    <col min="14" max="14" width="14.33203125" customWidth="1"/>
  </cols>
  <sheetData>
    <row r="1" spans="1:38" ht="25.8" x14ac:dyDescent="0.5">
      <c r="A1" s="16"/>
      <c r="B1" s="16"/>
      <c r="C1" s="31" t="s">
        <v>99</v>
      </c>
      <c r="D1" s="16"/>
      <c r="E1" s="16"/>
      <c r="F1" s="16"/>
      <c r="G1" s="16"/>
      <c r="H1" s="16"/>
      <c r="I1" s="16"/>
      <c r="J1" s="16"/>
      <c r="K1" s="176" t="str">
        <f>_xlfn.CONCAT( " CURRENTLY RUNNING: ", "  ",INDEX(L_Scenarios,S_Scenario,1))</f>
        <v xml:space="preserve"> CURRENTLY RUNNING:   BULL / BEST CASE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ht="12.6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8" t="str">
        <f>COVER!B6</f>
        <v>NEXT PLC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ht="12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6" t="str">
        <f>'MODEL&amp;SCHEDULE'!M3</f>
        <v>Bal Check:  OK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spans="1:38" x14ac:dyDescent="0.3">
      <c r="A4" s="16"/>
      <c r="B4" s="16"/>
      <c r="C4" s="16"/>
      <c r="D4" s="16"/>
      <c r="E4" s="16"/>
      <c r="F4" s="16"/>
      <c r="G4" s="16"/>
      <c r="H4" s="16"/>
      <c r="I4" s="16"/>
      <c r="J4" s="118">
        <f>'MODEL&amp;SCHEDULE'!J4</f>
        <v>46418</v>
      </c>
      <c r="K4" s="118">
        <f>'MODEL&amp;SCHEDULE'!K4</f>
        <v>46783</v>
      </c>
      <c r="L4" s="118">
        <f>'MODEL&amp;SCHEDULE'!L4</f>
        <v>47149</v>
      </c>
      <c r="M4" s="118">
        <f>'MODEL&amp;SCHEDULE'!M4</f>
        <v>47514</v>
      </c>
      <c r="N4" s="118">
        <f>'MODEL&amp;SCHEDULE'!N4</f>
        <v>47879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spans="1:38" x14ac:dyDescent="0.3">
      <c r="A5" s="16"/>
      <c r="B5" s="16"/>
      <c r="C5" s="16"/>
      <c r="D5" s="16"/>
      <c r="E5" s="19"/>
      <c r="F5" s="19"/>
      <c r="G5" s="19"/>
      <c r="H5" s="19"/>
      <c r="I5" s="19"/>
      <c r="J5" s="20">
        <f>'MODEL&amp;SCHEDULE'!J5</f>
        <v>2027</v>
      </c>
      <c r="K5" s="20">
        <f>'MODEL&amp;SCHEDULE'!K5</f>
        <v>2028</v>
      </c>
      <c r="L5" s="20">
        <f>'MODEL&amp;SCHEDULE'!L5</f>
        <v>2029</v>
      </c>
      <c r="M5" s="20">
        <f>'MODEL&amp;SCHEDULE'!M5</f>
        <v>2030</v>
      </c>
      <c r="N5" s="20">
        <f>'MODEL&amp;SCHEDULE'!N5</f>
        <v>2031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ht="4.2" customHeight="1" x14ac:dyDescent="0.3"/>
    <row r="7" spans="1:38" ht="6.6" customHeight="1" x14ac:dyDescent="0.3"/>
    <row r="8" spans="1:38" x14ac:dyDescent="0.3">
      <c r="C8" s="2" t="s">
        <v>102</v>
      </c>
      <c r="D8">
        <v>1</v>
      </c>
    </row>
    <row r="9" spans="1:38" ht="3" customHeight="1" x14ac:dyDescent="0.3"/>
    <row r="10" spans="1:38" ht="4.8" customHeight="1" x14ac:dyDescent="0.3"/>
    <row r="11" spans="1:38" ht="3.6" customHeight="1" x14ac:dyDescent="0.3">
      <c r="C11" s="2"/>
    </row>
    <row r="12" spans="1:38" hidden="1" x14ac:dyDescent="0.3"/>
    <row r="13" spans="1:38" ht="4.2" hidden="1" customHeight="1" x14ac:dyDescent="0.3">
      <c r="C13" s="2"/>
    </row>
    <row r="14" spans="1:38" ht="0.6" hidden="1" customHeight="1" x14ac:dyDescent="0.3"/>
    <row r="15" spans="1:38" ht="3" hidden="1" customHeight="1" x14ac:dyDescent="0.3">
      <c r="C15" t="str">
        <f>ASSUMPTIONS!C24</f>
        <v>BULL / BEST CASE</v>
      </c>
    </row>
    <row r="16" spans="1:38" hidden="1" x14ac:dyDescent="0.3">
      <c r="C16" t="str">
        <f>ASSUMPTIONS!C25</f>
        <v>BASE CASE</v>
      </c>
    </row>
    <row r="17" spans="2:26" ht="3" customHeight="1" x14ac:dyDescent="0.3">
      <c r="C17" t="str">
        <f>ASSUMPTIONS!C26</f>
        <v>BEAR  / WORST CASE</v>
      </c>
    </row>
    <row r="18" spans="2:26" ht="5.4" customHeight="1" x14ac:dyDescent="0.3"/>
    <row r="19" spans="2:26" ht="6" hidden="1" customHeight="1" x14ac:dyDescent="0.3"/>
    <row r="20" spans="2:26" ht="18" customHeight="1" x14ac:dyDescent="0.4">
      <c r="B20" s="135"/>
      <c r="C20" s="150" t="s">
        <v>1327</v>
      </c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spans="2:26" x14ac:dyDescent="0.3">
      <c r="C21" s="147" t="s">
        <v>583</v>
      </c>
      <c r="J21" s="187" cm="1">
        <f t="array" ref="J21">INDEX(J23:J25,S_Scenario)</f>
        <v>0.05</v>
      </c>
      <c r="K21" s="188" cm="1">
        <f t="array" ref="K21">INDEX(K23:K25,S_Scenario)</f>
        <v>0.1</v>
      </c>
      <c r="L21" s="188" cm="1">
        <f t="array" ref="L21">INDEX(L23:L25,S_Scenario)</f>
        <v>0.16400000000000001</v>
      </c>
      <c r="M21" s="188" cm="1">
        <f t="array" ref="M21">INDEX(M23:M25,S_Scenario)</f>
        <v>0.12</v>
      </c>
      <c r="N21" s="189" cm="1">
        <f t="array" ref="N21">INDEX(N23:N25,S_Scenario)</f>
        <v>0.08</v>
      </c>
    </row>
    <row r="23" spans="2:26" x14ac:dyDescent="0.3">
      <c r="C23" t="str">
        <f>ASSUMPTIONS!C24</f>
        <v>BULL / BEST CASE</v>
      </c>
      <c r="J23" s="172">
        <v>0.05</v>
      </c>
      <c r="K23" s="172">
        <v>0.1</v>
      </c>
      <c r="L23" s="172">
        <v>0.16400000000000001</v>
      </c>
      <c r="M23" s="172">
        <v>0.12</v>
      </c>
      <c r="N23" s="172">
        <v>0.08</v>
      </c>
    </row>
    <row r="24" spans="2:26" x14ac:dyDescent="0.3">
      <c r="C24" t="str">
        <f>ASSUMPTIONS!C25</f>
        <v>BASE CASE</v>
      </c>
      <c r="J24" s="172">
        <v>4.5006570302233984E-2</v>
      </c>
      <c r="K24" s="179">
        <v>7.0000000000000007E-2</v>
      </c>
      <c r="L24" s="179">
        <v>0.08</v>
      </c>
      <c r="M24" s="179">
        <v>0.10199999999999999</v>
      </c>
      <c r="N24" s="179">
        <v>6.9000000000000006E-2</v>
      </c>
    </row>
    <row r="25" spans="2:26" x14ac:dyDescent="0.3">
      <c r="C25" t="str">
        <f>ASSUMPTIONS!C26</f>
        <v>BEAR  / WORST CASE</v>
      </c>
      <c r="J25" s="172">
        <v>3.5000000000000003E-2</v>
      </c>
      <c r="K25" s="172">
        <v>0.04</v>
      </c>
      <c r="L25" s="172">
        <v>0.03</v>
      </c>
      <c r="M25" s="172">
        <v>0.05</v>
      </c>
      <c r="N25" s="172">
        <v>0.04</v>
      </c>
    </row>
    <row r="28" spans="2:26" x14ac:dyDescent="0.3">
      <c r="C28" s="2"/>
    </row>
    <row r="29" spans="2:26" x14ac:dyDescent="0.3">
      <c r="C29" s="147" t="s">
        <v>1322</v>
      </c>
      <c r="J29" s="184" cm="1">
        <f t="array" ref="J29">INDEX(J31:J33,S_Scenario)</f>
        <v>0.14299999999999999</v>
      </c>
      <c r="K29" s="185" cm="1">
        <f t="array" ref="K29">INDEX(K31:K33,S_Scenario)</f>
        <v>0.15</v>
      </c>
      <c r="L29" s="185" cm="1">
        <f t="array" ref="L29">INDEX(L31:L33,S_Scenario)</f>
        <v>0.15</v>
      </c>
      <c r="M29" s="185" cm="1">
        <f t="array" ref="M29">INDEX(M31:M33,S_Scenario)</f>
        <v>0.08</v>
      </c>
      <c r="N29" s="186" cm="1">
        <f t="array" ref="N29">INDEX(N31:N33,S_Scenario)</f>
        <v>0.12</v>
      </c>
    </row>
    <row r="31" spans="2:26" x14ac:dyDescent="0.3">
      <c r="C31" t="str">
        <f>C23</f>
        <v>BULL / BEST CASE</v>
      </c>
      <c r="J31" s="172">
        <v>0.14299999999999999</v>
      </c>
      <c r="K31" s="172">
        <v>0.15</v>
      </c>
      <c r="L31" s="172">
        <v>0.15</v>
      </c>
      <c r="M31" s="172">
        <v>0.08</v>
      </c>
      <c r="N31" s="172">
        <v>0.12</v>
      </c>
    </row>
    <row r="32" spans="2:26" x14ac:dyDescent="0.3">
      <c r="C32" t="str">
        <f>C24</f>
        <v>BASE CASE</v>
      </c>
      <c r="J32" s="179">
        <v>0.13903545766947834</v>
      </c>
      <c r="K32" s="179">
        <v>0.08</v>
      </c>
      <c r="L32" s="179">
        <v>0.13200000000000001</v>
      </c>
      <c r="M32" s="179">
        <v>5.6000000000000001E-2</v>
      </c>
      <c r="N32" s="179">
        <v>9.8000000000000004E-2</v>
      </c>
    </row>
    <row r="33" spans="3:14" x14ac:dyDescent="0.3">
      <c r="C33" t="str">
        <f>C25</f>
        <v>BEAR  / WORST CASE</v>
      </c>
      <c r="J33" s="172">
        <v>0.04</v>
      </c>
      <c r="K33" s="172">
        <v>0.06</v>
      </c>
      <c r="L33" s="172">
        <v>0.1</v>
      </c>
      <c r="M33" s="172">
        <v>0.03</v>
      </c>
      <c r="N33" s="172">
        <v>0.04</v>
      </c>
    </row>
    <row r="36" spans="3:14" x14ac:dyDescent="0.3">
      <c r="C36" s="147" t="s">
        <v>1325</v>
      </c>
    </row>
    <row r="37" spans="3:14" x14ac:dyDescent="0.3">
      <c r="J37" s="184" cm="1">
        <f t="array" ref="J37">INDEX(J39:J41,S_Scenario)</f>
        <v>0.02</v>
      </c>
      <c r="K37" s="185" cm="1">
        <f t="array" ref="K37">INDEX(K39:K41,S_Scenario)</f>
        <v>0.01</v>
      </c>
      <c r="L37" s="185" cm="1">
        <f t="array" ref="L37">INDEX(L39:L41,S_Scenario)</f>
        <v>0.03</v>
      </c>
      <c r="M37" s="185" cm="1">
        <f t="array" ref="M37">INDEX(M39:M41,S_Scenario)</f>
        <v>0.04</v>
      </c>
      <c r="N37" s="186" cm="1">
        <f t="array" ref="N37">INDEX(N39:N41,S_Scenario)</f>
        <v>0.08</v>
      </c>
    </row>
    <row r="39" spans="3:14" x14ac:dyDescent="0.3">
      <c r="C39" t="str">
        <f>C31</f>
        <v>BULL / BEST CASE</v>
      </c>
      <c r="J39" s="179">
        <v>0.02</v>
      </c>
      <c r="K39" s="179">
        <v>0.01</v>
      </c>
      <c r="L39" s="179">
        <v>0.03</v>
      </c>
      <c r="M39" s="179">
        <v>0.04</v>
      </c>
      <c r="N39" s="179">
        <v>0.08</v>
      </c>
    </row>
    <row r="40" spans="3:14" x14ac:dyDescent="0.3">
      <c r="C40" t="str">
        <f>C32</f>
        <v>BASE CASE</v>
      </c>
      <c r="J40" s="179">
        <v>-1.7487733071638867E-2</v>
      </c>
      <c r="K40" s="179">
        <v>-3.6999999999999998E-2</v>
      </c>
      <c r="L40" s="179">
        <v>7.0000000000000001E-3</v>
      </c>
      <c r="M40" s="179">
        <v>2.8000000000000001E-2</v>
      </c>
      <c r="N40" s="179">
        <v>0.06</v>
      </c>
    </row>
    <row r="41" spans="3:14" x14ac:dyDescent="0.3">
      <c r="C41" t="str">
        <f>C33</f>
        <v>BEAR  / WORST CASE</v>
      </c>
      <c r="J41" s="179">
        <v>-0.04</v>
      </c>
      <c r="K41" s="179">
        <v>-0.05</v>
      </c>
      <c r="L41" s="179">
        <v>-0.03</v>
      </c>
      <c r="M41" s="179">
        <v>0</v>
      </c>
      <c r="N41" s="179">
        <v>0.03</v>
      </c>
    </row>
    <row r="44" spans="3:14" x14ac:dyDescent="0.3">
      <c r="C44" s="2"/>
    </row>
    <row r="45" spans="3:14" x14ac:dyDescent="0.3">
      <c r="C45" s="147" t="s">
        <v>1323</v>
      </c>
      <c r="J45" s="184" cm="1">
        <f t="array" ref="J45">INDEX(J47:J49,S_Scenario)</f>
        <v>0.01</v>
      </c>
      <c r="K45" s="185" cm="1">
        <f t="array" ref="K45">INDEX(K47:K49,S_Scenario)</f>
        <v>0.03</v>
      </c>
      <c r="L45" s="185" cm="1">
        <f t="array" ref="L45">INDEX(L47:L49,S_Scenario)</f>
        <v>4.8000000000000001E-2</v>
      </c>
      <c r="M45" s="185" cm="1">
        <f t="array" ref="M45">INDEX(M47:M49,S_Scenario)</f>
        <v>5.0000000000000001E-3</v>
      </c>
      <c r="N45" s="186" cm="1">
        <f t="array" ref="N45">INDEX(N47:N49,S_Scenario)</f>
        <v>7.0000000000000007E-2</v>
      </c>
    </row>
    <row r="47" spans="3:14" x14ac:dyDescent="0.3">
      <c r="C47" t="str">
        <f>C39</f>
        <v>BULL / BEST CASE</v>
      </c>
      <c r="J47" s="179">
        <v>0.01</v>
      </c>
      <c r="K47" s="179">
        <v>0.03</v>
      </c>
      <c r="L47" s="179">
        <v>4.8000000000000001E-2</v>
      </c>
      <c r="M47" s="179">
        <v>5.0000000000000001E-3</v>
      </c>
      <c r="N47" s="179">
        <v>7.0000000000000007E-2</v>
      </c>
    </row>
    <row r="48" spans="3:14" x14ac:dyDescent="0.3">
      <c r="C48" t="str">
        <f>C40</f>
        <v>BASE CASE</v>
      </c>
      <c r="J48" s="179">
        <v>-2.0495233050847439E-2</v>
      </c>
      <c r="K48" s="179">
        <v>1.9E-2</v>
      </c>
      <c r="L48" s="179">
        <v>3.2000000000000001E-2</v>
      </c>
      <c r="M48" s="179">
        <v>-0.02</v>
      </c>
      <c r="N48" s="179">
        <v>0.05</v>
      </c>
    </row>
    <row r="49" spans="3:14" x14ac:dyDescent="0.3">
      <c r="C49" t="str">
        <f>C41</f>
        <v>BEAR  / WORST CASE</v>
      </c>
      <c r="J49" s="179">
        <v>-0.04</v>
      </c>
      <c r="K49" s="179">
        <v>-0.02</v>
      </c>
      <c r="L49" s="179">
        <v>0.01</v>
      </c>
      <c r="M49" s="179">
        <v>-0.04</v>
      </c>
      <c r="N49" s="179">
        <v>0.03</v>
      </c>
    </row>
    <row r="53" spans="3:14" x14ac:dyDescent="0.3">
      <c r="C53" s="2"/>
    </row>
    <row r="54" spans="3:14" x14ac:dyDescent="0.3">
      <c r="C54" s="147" t="s">
        <v>277</v>
      </c>
      <c r="J54" s="184" cm="1">
        <f t="array" ref="J54">INDEX(J56:J58,S_Scenario)</f>
        <v>4.5999999999999999E-2</v>
      </c>
      <c r="K54" s="185" cm="1">
        <f t="array" ref="K54">INDEX(K56:K58,S_Scenario)</f>
        <v>0.15</v>
      </c>
      <c r="L54" s="185" cm="1">
        <f t="array" ref="L54">INDEX(L56:L58,S_Scenario)</f>
        <v>2.3E-2</v>
      </c>
      <c r="M54" s="185" cm="1">
        <f t="array" ref="M54">INDEX(M56:M58,S_Scenario)</f>
        <v>0.22</v>
      </c>
      <c r="N54" s="186" cm="1">
        <f t="array" ref="N54">INDEX(N56:N58,S_Scenario)</f>
        <v>0.05</v>
      </c>
    </row>
    <row r="56" spans="3:14" x14ac:dyDescent="0.3">
      <c r="C56" t="str">
        <f>C47</f>
        <v>BULL / BEST CASE</v>
      </c>
      <c r="J56" s="172">
        <v>4.5999999999999999E-2</v>
      </c>
      <c r="K56" s="173">
        <v>0.15</v>
      </c>
      <c r="L56" s="174">
        <v>2.3E-2</v>
      </c>
      <c r="M56" s="173">
        <v>0.22</v>
      </c>
      <c r="N56" s="173">
        <v>0.05</v>
      </c>
    </row>
    <row r="57" spans="3:14" x14ac:dyDescent="0.3">
      <c r="C57" t="str">
        <f t="shared" ref="C57:C58" si="0">C48</f>
        <v>BASE CASE</v>
      </c>
      <c r="J57" s="174">
        <v>-0.11014253839455324</v>
      </c>
      <c r="K57" s="179">
        <v>0.10580000000000001</v>
      </c>
      <c r="L57" s="179">
        <v>-2.2969819921914325E-2</v>
      </c>
      <c r="M57" s="179">
        <v>0.2</v>
      </c>
      <c r="N57" s="179">
        <v>4.141509003904284E-2</v>
      </c>
    </row>
    <row r="58" spans="3:14" x14ac:dyDescent="0.3">
      <c r="C58" t="str">
        <f t="shared" si="0"/>
        <v>BEAR  / WORST CASE</v>
      </c>
      <c r="J58" s="173">
        <v>-0.14000000000000001</v>
      </c>
      <c r="K58" s="173">
        <v>0.05</v>
      </c>
      <c r="L58" s="174">
        <v>-3.1E-2</v>
      </c>
      <c r="M58" s="173">
        <v>0.08</v>
      </c>
      <c r="N58" s="173">
        <v>0.03</v>
      </c>
    </row>
    <row r="62" spans="3:14" x14ac:dyDescent="0.3">
      <c r="C62" s="147" t="s">
        <v>1326</v>
      </c>
      <c r="J62" s="184" cm="1">
        <f t="array" ref="J62">INDEX(J64:J66,S_Scenario)</f>
        <v>0.03</v>
      </c>
      <c r="K62" s="185" cm="1">
        <f t="array" ref="K62">INDEX(K64:K66,S_Scenario)</f>
        <v>0.09</v>
      </c>
      <c r="L62" s="185" cm="1">
        <f t="array" ref="L62">INDEX(L64:L66,S_Scenario)</f>
        <v>0.05</v>
      </c>
      <c r="M62" s="185" cm="1">
        <f t="array" ref="M62">INDEX(M64:M66,S_Scenario)</f>
        <v>0.03</v>
      </c>
      <c r="N62" s="186" cm="1">
        <f t="array" ref="N62">INDEX(N64:N66,S_Scenario)</f>
        <v>0.05</v>
      </c>
    </row>
    <row r="64" spans="3:14" x14ac:dyDescent="0.3">
      <c r="C64" t="str">
        <f>C47</f>
        <v>BULL / BEST CASE</v>
      </c>
      <c r="J64" s="172">
        <v>0.03</v>
      </c>
      <c r="K64" s="173">
        <v>0.09</v>
      </c>
      <c r="L64" s="173">
        <v>0.05</v>
      </c>
      <c r="M64" s="173">
        <v>0.03</v>
      </c>
      <c r="N64" s="173">
        <v>0.05</v>
      </c>
    </row>
    <row r="65" spans="2:26" x14ac:dyDescent="0.3">
      <c r="C65" t="str">
        <f t="shared" ref="C65:C66" si="1">C48</f>
        <v>BASE CASE</v>
      </c>
      <c r="J65" s="175">
        <v>1.0296157466178624E-2</v>
      </c>
      <c r="K65" s="174">
        <v>7.0000000000000007E-2</v>
      </c>
      <c r="L65" s="174">
        <v>2.8500000000000001E-2</v>
      </c>
      <c r="M65" s="174">
        <v>4.0000000000000001E-3</v>
      </c>
      <c r="N65" s="174">
        <v>3.4166666666666672E-2</v>
      </c>
    </row>
    <row r="66" spans="2:26" x14ac:dyDescent="0.3">
      <c r="C66" t="str">
        <f t="shared" si="1"/>
        <v>BEAR  / WORST CASE</v>
      </c>
      <c r="J66" s="173">
        <v>-7.9000000000000008E-3</v>
      </c>
      <c r="K66" s="173">
        <v>0.05</v>
      </c>
      <c r="L66" s="174">
        <v>-1.2E-2</v>
      </c>
      <c r="M66" s="174">
        <v>-2.1999999999999999E-2</v>
      </c>
      <c r="N66" s="173">
        <v>0</v>
      </c>
    </row>
    <row r="68" spans="2:26" x14ac:dyDescent="0.3"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70" spans="2:26" x14ac:dyDescent="0.3">
      <c r="C70" s="2"/>
    </row>
    <row r="71" spans="2:26" x14ac:dyDescent="0.3">
      <c r="C71" s="147" t="s">
        <v>657</v>
      </c>
      <c r="J71" s="182" cm="1">
        <f t="array" ref="J71">INDEX(J73:J75,S_Scenario)</f>
        <v>300</v>
      </c>
      <c r="K71" s="47" cm="1">
        <f t="array" ref="K71">INDEX(K73:K75,S_Scenario)</f>
        <v>300</v>
      </c>
      <c r="L71" s="47" cm="1">
        <f t="array" ref="L71">INDEX(L73:L75,S_Scenario)</f>
        <v>300</v>
      </c>
      <c r="M71" s="47" cm="1">
        <f t="array" ref="M71">INDEX(M73:M75,S_Scenario)</f>
        <v>300</v>
      </c>
      <c r="N71" s="183" cm="1">
        <f t="array" ref="N71">INDEX(N73:N75,S_Scenario)</f>
        <v>400</v>
      </c>
    </row>
    <row r="73" spans="2:26" x14ac:dyDescent="0.3">
      <c r="C73" t="str">
        <f>C64</f>
        <v>BULL / BEST CASE</v>
      </c>
      <c r="J73" s="180">
        <v>300</v>
      </c>
      <c r="K73" s="180">
        <v>300</v>
      </c>
      <c r="L73" s="180">
        <v>300</v>
      </c>
      <c r="M73" s="180">
        <v>300</v>
      </c>
      <c r="N73" s="180">
        <v>400</v>
      </c>
    </row>
    <row r="74" spans="2:26" x14ac:dyDescent="0.3">
      <c r="C74" t="str">
        <f t="shared" ref="C74:C75" si="2">C65</f>
        <v>BASE CASE</v>
      </c>
      <c r="J74" s="180">
        <v>237</v>
      </c>
      <c r="K74" s="180">
        <v>245</v>
      </c>
      <c r="L74" s="180">
        <v>220</v>
      </c>
      <c r="M74" s="180">
        <v>270</v>
      </c>
      <c r="N74" s="180">
        <v>300</v>
      </c>
    </row>
    <row r="75" spans="2:26" x14ac:dyDescent="0.3">
      <c r="C75" t="str">
        <f t="shared" si="2"/>
        <v>BEAR  / WORST CASE</v>
      </c>
      <c r="J75" s="181">
        <v>200</v>
      </c>
      <c r="K75" s="180">
        <v>200</v>
      </c>
      <c r="L75" s="180">
        <v>180</v>
      </c>
      <c r="M75" s="180">
        <v>200</v>
      </c>
      <c r="N75" s="180">
        <v>200</v>
      </c>
    </row>
    <row r="77" spans="2:26" x14ac:dyDescent="0.3"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9" spans="2:26" x14ac:dyDescent="0.3">
      <c r="C79" s="147" t="s">
        <v>1324</v>
      </c>
      <c r="J79" s="182" cm="1">
        <f t="array" ref="J79">INDEX(J81:J83,S_Scenario)</f>
        <v>550</v>
      </c>
      <c r="K79" s="47" cm="1">
        <f t="array" ref="K79">INDEX(K81:K83,S_Scenario)</f>
        <v>400</v>
      </c>
      <c r="L79" s="47" cm="1">
        <f t="array" ref="L79">INDEX(L81:L83,S_Scenario)</f>
        <v>300</v>
      </c>
      <c r="M79" s="47" cm="1">
        <f t="array" ref="M79">INDEX(M81:M83,S_Scenario)</f>
        <v>400</v>
      </c>
      <c r="N79" s="183" cm="1">
        <f t="array" ref="N79">INDEX(N81:N83,S_Scenario)</f>
        <v>400</v>
      </c>
    </row>
    <row r="81" spans="3:14" x14ac:dyDescent="0.3">
      <c r="C81" t="str">
        <f>C73</f>
        <v>BULL / BEST CASE</v>
      </c>
      <c r="J81" s="180">
        <v>550</v>
      </c>
      <c r="K81" s="180">
        <v>400</v>
      </c>
      <c r="L81" s="180">
        <v>300</v>
      </c>
      <c r="M81" s="180">
        <v>400</v>
      </c>
      <c r="N81" s="180">
        <v>400</v>
      </c>
    </row>
    <row r="82" spans="3:14" x14ac:dyDescent="0.3">
      <c r="C82" t="str">
        <f t="shared" ref="C82:C83" si="3">C74</f>
        <v>BASE CASE</v>
      </c>
      <c r="J82" s="180">
        <v>500</v>
      </c>
      <c r="K82" s="180">
        <v>370</v>
      </c>
      <c r="L82" s="180">
        <v>250</v>
      </c>
      <c r="M82" s="180">
        <v>350</v>
      </c>
      <c r="N82" s="180">
        <v>350</v>
      </c>
    </row>
    <row r="83" spans="3:14" x14ac:dyDescent="0.3">
      <c r="C83" t="str">
        <f t="shared" si="3"/>
        <v>BEAR  / WORST CASE</v>
      </c>
      <c r="J83" s="180">
        <v>450</v>
      </c>
      <c r="K83" s="180">
        <v>350</v>
      </c>
      <c r="L83" s="180">
        <v>200</v>
      </c>
      <c r="M83" s="180">
        <v>300</v>
      </c>
      <c r="N83" s="180">
        <v>300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rop Down 1">
              <controlPr defaultSize="0" autoLine="0" autoPict="0">
                <anchor moveWithCells="1">
                  <from>
                    <xdr:col>3</xdr:col>
                    <xdr:colOff>0</xdr:colOff>
                    <xdr:row>6</xdr:row>
                    <xdr:rowOff>175260</xdr:rowOff>
                  </from>
                  <to>
                    <xdr:col>4</xdr:col>
                    <xdr:colOff>556260</xdr:colOff>
                    <xdr:row>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9D5D-778E-4D20-B820-00E1B9C52AA6}">
  <sheetPr>
    <tabColor theme="9" tint="-0.499984740745262"/>
  </sheetPr>
  <dimension ref="A1:AF822"/>
  <sheetViews>
    <sheetView showGridLines="0" zoomScale="92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27" sqref="D27"/>
    </sheetView>
  </sheetViews>
  <sheetFormatPr defaultRowHeight="14.4" x14ac:dyDescent="0.3"/>
  <cols>
    <col min="1" max="1" width="5.21875" customWidth="1"/>
    <col min="2" max="2" width="7.21875" customWidth="1"/>
    <col min="3" max="3" width="36.44140625" customWidth="1"/>
    <col min="4" max="4" width="26.21875" customWidth="1"/>
    <col min="5" max="5" width="10.88671875" customWidth="1"/>
    <col min="6" max="9" width="8.88671875" customWidth="1"/>
    <col min="10" max="10" width="11.5546875" customWidth="1"/>
    <col min="11" max="11" width="10.44140625" customWidth="1"/>
    <col min="12" max="12" width="10.109375" customWidth="1"/>
    <col min="13" max="13" width="10.33203125" customWidth="1"/>
    <col min="14" max="14" width="9.44140625" customWidth="1"/>
  </cols>
  <sheetData>
    <row r="1" spans="1:26" ht="25.8" x14ac:dyDescent="0.5">
      <c r="A1" s="16"/>
      <c r="B1" s="16"/>
      <c r="C1" s="31" t="s">
        <v>100</v>
      </c>
      <c r="D1" s="16"/>
      <c r="E1" s="16"/>
      <c r="F1" s="16"/>
      <c r="G1" s="16"/>
      <c r="H1" s="16"/>
      <c r="I1" s="16"/>
      <c r="J1" s="16"/>
      <c r="K1" s="18" t="str">
        <f>SCENARIOS!K1</f>
        <v xml:space="preserve"> CURRENTLY RUNNING:   BULL / BEST CASE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4" t="str">
        <f>COVER!B6</f>
        <v>NEXT PLC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6" t="str">
        <f>IF(Balcheck=0, "Bal Check:  OK", "ERROR")</f>
        <v>Bal Check:  OK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x14ac:dyDescent="0.3">
      <c r="A4" s="16"/>
      <c r="B4" s="16"/>
      <c r="C4" s="16"/>
      <c r="D4" s="16"/>
      <c r="E4" s="118">
        <f>ASSUMPTIONS!E4</f>
        <v>44592</v>
      </c>
      <c r="F4" s="118">
        <f>ASSUMPTIONS!F4</f>
        <v>44957</v>
      </c>
      <c r="G4" s="118">
        <f>ASSUMPTIONS!G4</f>
        <v>45322</v>
      </c>
      <c r="H4" s="118">
        <f>ASSUMPTIONS!H4</f>
        <v>45688</v>
      </c>
      <c r="I4" s="118">
        <f>ASSUMPTIONS!I4</f>
        <v>46053</v>
      </c>
      <c r="J4" s="118">
        <f>ASSUMPTIONS!J4</f>
        <v>46418</v>
      </c>
      <c r="K4" s="118">
        <f>ASSUMPTIONS!K4</f>
        <v>46783</v>
      </c>
      <c r="L4" s="118">
        <f>ASSUMPTIONS!L4</f>
        <v>47149</v>
      </c>
      <c r="M4" s="118">
        <f>ASSUMPTIONS!M4</f>
        <v>47514</v>
      </c>
      <c r="N4" s="118">
        <f>ASSUMPTIONS!N4</f>
        <v>47879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3">
      <c r="A5" s="16"/>
      <c r="B5" s="16"/>
      <c r="C5" s="16"/>
      <c r="D5" s="16"/>
      <c r="E5" s="29">
        <f>ASSUMPTIONS!E5</f>
        <v>2022</v>
      </c>
      <c r="F5" s="29">
        <f>ASSUMPTIONS!F5</f>
        <v>2023</v>
      </c>
      <c r="G5" s="29">
        <f>ASSUMPTIONS!G5</f>
        <v>2024</v>
      </c>
      <c r="H5" s="29">
        <f>ASSUMPTIONS!H5</f>
        <v>2025</v>
      </c>
      <c r="I5" s="29">
        <f>ASSUMPTIONS!I5</f>
        <v>2026</v>
      </c>
      <c r="J5" s="30">
        <f>ASSUMPTIONS!J5</f>
        <v>2027</v>
      </c>
      <c r="K5" s="30">
        <f>ASSUMPTIONS!K5</f>
        <v>2028</v>
      </c>
      <c r="L5" s="30">
        <f>ASSUMPTIONS!L5</f>
        <v>2029</v>
      </c>
      <c r="M5" s="30">
        <f>ASSUMPTIONS!M5</f>
        <v>2030</v>
      </c>
      <c r="N5" s="30">
        <f>ASSUMPTIONS!N5</f>
        <v>2031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8.8" x14ac:dyDescent="0.55000000000000004">
      <c r="B6" s="2" t="str">
        <f>'HISTORICAL FS'!B7</f>
        <v>Millions for the Year Ended January 31</v>
      </c>
      <c r="C6" s="212" t="s">
        <v>1055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</row>
    <row r="8" spans="1:26" x14ac:dyDescent="0.3">
      <c r="C8" s="2" t="str">
        <f>'rough sheet'!C744</f>
        <v>SEGMENT</v>
      </c>
    </row>
    <row r="9" spans="1:26" x14ac:dyDescent="0.3">
      <c r="C9" t="str">
        <f>'rough sheet'!C745</f>
        <v>Online UK</v>
      </c>
      <c r="H9">
        <f>'rough sheet'!H745</f>
        <v>2302.6999999999998</v>
      </c>
      <c r="I9">
        <f>'rough sheet'!I745</f>
        <v>2587.4</v>
      </c>
      <c r="J9" s="100">
        <f>I9*(1+SCENARIOS!J21)</f>
        <v>2716.7700000000004</v>
      </c>
      <c r="K9" s="100">
        <f>J9*(1+SCENARIOS!K21)</f>
        <v>2988.4470000000006</v>
      </c>
      <c r="L9" s="100">
        <f>K9*(1+SCENARIOS!L21)</f>
        <v>3478.5523080000003</v>
      </c>
      <c r="M9" s="100">
        <f>L9*(1+SCENARIOS!M21)</f>
        <v>3895.9785849600007</v>
      </c>
      <c r="N9" s="100">
        <f>M9*(1+SCENARIOS!N21)</f>
        <v>4207.6568717568007</v>
      </c>
    </row>
    <row r="10" spans="1:26" x14ac:dyDescent="0.3">
      <c r="C10" t="str">
        <f>'rough sheet'!C746</f>
        <v>Online (International)</v>
      </c>
      <c r="H10">
        <f>'rough sheet'!H746</f>
        <v>898.5</v>
      </c>
      <c r="I10">
        <f>'rough sheet'!I746</f>
        <v>1280.4000000000001</v>
      </c>
      <c r="J10" s="100">
        <f>I10*(1+SCENARIOS!J29)</f>
        <v>1463.4972</v>
      </c>
      <c r="K10" s="100">
        <f>J10*(1+SCENARIOS!K29)</f>
        <v>1683.0217799999998</v>
      </c>
      <c r="L10" s="100">
        <f>K10*(1+SCENARIOS!L29)</f>
        <v>1935.4750469999997</v>
      </c>
      <c r="M10" s="100">
        <f>L10*(1+SCENARIOS!M29)</f>
        <v>2090.3130507599999</v>
      </c>
      <c r="N10" s="100">
        <f>M10*(1+SCENARIOS!N29)</f>
        <v>2341.1506168512001</v>
      </c>
    </row>
    <row r="11" spans="1:26" x14ac:dyDescent="0.3">
      <c r="C11" s="2" t="str">
        <f>'rough sheet'!C747</f>
        <v>Next Online</v>
      </c>
      <c r="E11">
        <f>'rough sheet'!E747</f>
        <v>2863.1</v>
      </c>
      <c r="F11">
        <f>'rough sheet'!F747</f>
        <v>2743.6</v>
      </c>
      <c r="G11">
        <f>'rough sheet'!G747</f>
        <v>2901.4</v>
      </c>
      <c r="H11" s="129">
        <f>SUM(H9:H10)</f>
        <v>3201.2</v>
      </c>
      <c r="I11" s="129">
        <f t="shared" ref="I11" si="0">SUM(I9:I10)</f>
        <v>3867.8</v>
      </c>
      <c r="J11" s="129">
        <f>SUM(J9:J10)</f>
        <v>4180.2672000000002</v>
      </c>
      <c r="K11" s="129">
        <f t="shared" ref="K11:N11" si="1">SUM(K9:K10)</f>
        <v>4671.4687800000002</v>
      </c>
      <c r="L11" s="129">
        <f t="shared" si="1"/>
        <v>5414.0273550000002</v>
      </c>
      <c r="M11" s="129">
        <f t="shared" si="1"/>
        <v>5986.2916357200011</v>
      </c>
      <c r="N11" s="129">
        <f t="shared" si="1"/>
        <v>6548.8074886080012</v>
      </c>
    </row>
    <row r="12" spans="1:26" x14ac:dyDescent="0.3">
      <c r="C12" t="str">
        <f>'rough sheet'!C748</f>
        <v>Next Retail</v>
      </c>
      <c r="E12">
        <f>'rough sheet'!E748</f>
        <v>1425.9</v>
      </c>
      <c r="F12">
        <f>'rough sheet'!F748</f>
        <v>1849.1</v>
      </c>
      <c r="G12">
        <f>'rough sheet'!G748</f>
        <v>1843.7</v>
      </c>
      <c r="H12">
        <f>'rough sheet'!H748</f>
        <v>1821.2</v>
      </c>
      <c r="I12">
        <f>'rough sheet'!I748</f>
        <v>1888</v>
      </c>
      <c r="J12" s="100">
        <f>I12*(1+SCENARIOS!J45)</f>
        <v>1906.88</v>
      </c>
      <c r="K12" s="100">
        <f>J12*(1+SCENARIOS!K45)</f>
        <v>1964.0864000000001</v>
      </c>
      <c r="L12" s="100">
        <f>K12*(1+SCENARIOS!L45)</f>
        <v>2058.3625472000003</v>
      </c>
      <c r="M12" s="100">
        <f>L12*(1+SCENARIOS!M45)</f>
        <v>2068.6543599360002</v>
      </c>
      <c r="N12" s="100">
        <f>M12*(1+SCENARIOS!N45)</f>
        <v>2213.4601651315202</v>
      </c>
    </row>
    <row r="13" spans="1:26" x14ac:dyDescent="0.3">
      <c r="C13" s="2" t="str">
        <f>'rough sheet'!C749</f>
        <v>Product Revenue</v>
      </c>
      <c r="E13" s="46">
        <f t="shared" ref="E13:H13" si="2">E11+E12</f>
        <v>4289</v>
      </c>
      <c r="F13" s="46">
        <f t="shared" si="2"/>
        <v>4592.7</v>
      </c>
      <c r="G13" s="46">
        <f t="shared" si="2"/>
        <v>4745.1000000000004</v>
      </c>
      <c r="H13" s="46">
        <f t="shared" si="2"/>
        <v>5022.3999999999996</v>
      </c>
      <c r="I13" s="129">
        <f>I11+I12</f>
        <v>5755.8</v>
      </c>
      <c r="J13" s="129">
        <f>J11+J12</f>
        <v>6087.1472000000003</v>
      </c>
      <c r="K13" s="129">
        <f t="shared" ref="K13:N13" si="3">K11+K12</f>
        <v>6635.5551800000003</v>
      </c>
      <c r="L13" s="129">
        <f t="shared" si="3"/>
        <v>7472.3899022000005</v>
      </c>
      <c r="M13" s="129">
        <f t="shared" si="3"/>
        <v>8054.9459956560013</v>
      </c>
      <c r="N13" s="129">
        <f t="shared" si="3"/>
        <v>8762.2676537395218</v>
      </c>
    </row>
    <row r="14" spans="1:26" x14ac:dyDescent="0.3">
      <c r="C14" t="str">
        <f>'rough sheet'!C750</f>
        <v>Next Finance/credit account interest</v>
      </c>
      <c r="E14">
        <f>'rough sheet'!E750</f>
        <v>249.4</v>
      </c>
      <c r="F14">
        <f>'rough sheet'!F750</f>
        <v>274.39999999999998</v>
      </c>
      <c r="G14">
        <f>'rough sheet'!G750</f>
        <v>292.7</v>
      </c>
      <c r="H14">
        <f>'rough sheet'!H750</f>
        <v>301</v>
      </c>
      <c r="I14">
        <f>'rough sheet'!I750</f>
        <v>305.7</v>
      </c>
      <c r="J14" s="100">
        <f>I14*(1+SCENARIOS!J37)</f>
        <v>311.81400000000002</v>
      </c>
      <c r="K14" s="100">
        <f>J14*(1+SCENARIOS!K37)</f>
        <v>314.93214</v>
      </c>
      <c r="L14" s="100">
        <f>K14*(1+SCENARIOS!L37)</f>
        <v>324.38010420000001</v>
      </c>
      <c r="M14" s="100">
        <f>L14*(1+SCENARIOS!M37)</f>
        <v>337.35530836800001</v>
      </c>
      <c r="N14" s="100">
        <f>M14*(1+SCENARIOS!N37)</f>
        <v>364.34373303744002</v>
      </c>
    </row>
    <row r="15" spans="1:26" x14ac:dyDescent="0.3">
      <c r="C15" t="str">
        <f>'rough sheet'!C751</f>
        <v>Total Platform +next sale of investment</v>
      </c>
      <c r="E15">
        <f>'rough sheet'!E751</f>
        <v>11.3</v>
      </c>
      <c r="F15">
        <f>'rough sheet'!F751</f>
        <v>75.7</v>
      </c>
      <c r="G15">
        <f>'rough sheet'!G751</f>
        <v>363.8</v>
      </c>
      <c r="H15">
        <f>'rough sheet'!H751</f>
        <v>690</v>
      </c>
      <c r="I15">
        <f>'rough sheet'!I751</f>
        <v>734.3</v>
      </c>
      <c r="J15" s="100">
        <f>I15*(1+SCENARIOS!J54)</f>
        <v>768.07780000000002</v>
      </c>
      <c r="K15" s="100">
        <f>J15*(1+SCENARIOS!K54)</f>
        <v>883.28946999999994</v>
      </c>
      <c r="L15" s="100">
        <f>K15*(1+SCENARIOS!L54)</f>
        <v>903.60512780999989</v>
      </c>
      <c r="M15" s="100">
        <f>L15*(1+SCENARIOS!M54)</f>
        <v>1102.3982559281999</v>
      </c>
      <c r="N15" s="100">
        <f>M15*(1+SCENARIOS!N54)</f>
        <v>1157.51816872461</v>
      </c>
    </row>
    <row r="16" spans="1:26" x14ac:dyDescent="0.3">
      <c r="C16" t="str">
        <f>'rough sheet'!C752</f>
        <v>Other business Activities</v>
      </c>
      <c r="E16">
        <f>'rough sheet'!E752</f>
        <v>76.2</v>
      </c>
      <c r="F16">
        <f>'rough sheet'!F752</f>
        <v>91.199999999999989</v>
      </c>
      <c r="G16">
        <f>'rough sheet'!G752</f>
        <v>89.4</v>
      </c>
      <c r="H16">
        <f>'rough sheet'!H752</f>
        <v>104.7</v>
      </c>
      <c r="I16">
        <f>'rough sheet'!I752</f>
        <v>105.5</v>
      </c>
      <c r="J16" s="100">
        <f>I16*(1+SCENARIOS!J62)</f>
        <v>108.66500000000001</v>
      </c>
      <c r="K16" s="100">
        <f>J16*(1+SCENARIOS!K62)</f>
        <v>118.44485000000002</v>
      </c>
      <c r="L16" s="100">
        <f>K16*(1+SCENARIOS!L62)</f>
        <v>124.36709250000003</v>
      </c>
      <c r="M16" s="100">
        <f>L16*(1+SCENARIOS!M62)</f>
        <v>128.09810527500002</v>
      </c>
      <c r="N16" s="100">
        <f>M16*(1+SCENARIOS!N62)</f>
        <v>134.50301053875003</v>
      </c>
    </row>
    <row r="17" spans="3:14" x14ac:dyDescent="0.3">
      <c r="C17" s="2" t="str">
        <f>'HISTORICAL FS'!C12</f>
        <v>Revenue</v>
      </c>
      <c r="E17" s="46">
        <f t="shared" ref="E17" si="4">E13+E14+E15+E16</f>
        <v>4625.8999999999996</v>
      </c>
      <c r="F17" s="46">
        <f t="shared" ref="F17" si="5">F13+F14+F15+F16</f>
        <v>5033.9999999999991</v>
      </c>
      <c r="G17" s="46">
        <f t="shared" ref="G17" si="6">G13+G14+G15+G16</f>
        <v>5491</v>
      </c>
      <c r="H17" s="46">
        <f t="shared" ref="H17" si="7">H13+H14+H15+H16</f>
        <v>6118.0999999999995</v>
      </c>
      <c r="I17" s="46">
        <f>I13+I14+I15+I16</f>
        <v>6901.3</v>
      </c>
      <c r="J17" s="129">
        <f>J13+J14+J15+J16</f>
        <v>7275.7040000000006</v>
      </c>
      <c r="K17" s="129">
        <f t="shared" ref="K17:N17" si="8">K13+K14+K15+K16</f>
        <v>7952.2216399999998</v>
      </c>
      <c r="L17" s="129">
        <f t="shared" si="8"/>
        <v>8824.742226710001</v>
      </c>
      <c r="M17" s="129">
        <f t="shared" si="8"/>
        <v>9622.7976652272009</v>
      </c>
      <c r="N17" s="129">
        <f t="shared" si="8"/>
        <v>10418.632566040322</v>
      </c>
    </row>
    <row r="18" spans="3:14" x14ac:dyDescent="0.3">
      <c r="C18" t="str">
        <f>'HISTORICAL FS'!C13</f>
        <v>cost of sales</v>
      </c>
      <c r="E18">
        <f>'HISTORICAL FS'!E13</f>
        <v>2625.3</v>
      </c>
      <c r="F18">
        <f>'HISTORICAL FS'!F13</f>
        <v>2827.7</v>
      </c>
      <c r="G18">
        <f>'HISTORICAL FS'!G13</f>
        <v>3034.5</v>
      </c>
      <c r="H18">
        <f>'HISTORICAL FS'!H13</f>
        <v>3456.5</v>
      </c>
      <c r="I18">
        <f>'HISTORICAL FS'!I13</f>
        <v>3847.5</v>
      </c>
      <c r="J18" s="100">
        <f>J17*ASSUMPTIONS!$J$55</f>
        <v>4080.7102990833223</v>
      </c>
      <c r="K18" s="100">
        <f>K17*ASSUMPTIONS!$J$55</f>
        <v>4460.1474643472666</v>
      </c>
      <c r="L18" s="100">
        <f>L17*ASSUMPTIONS!$J$55</f>
        <v>4949.5164304775162</v>
      </c>
      <c r="M18" s="100">
        <f>M17*ASSUMPTIONS!$J$55</f>
        <v>5397.1202702154433</v>
      </c>
      <c r="N18" s="100">
        <f>N17*ASSUMPTIONS!$J$55</f>
        <v>5843.4786811840668</v>
      </c>
    </row>
    <row r="19" spans="3:14" x14ac:dyDescent="0.3">
      <c r="C19" t="str">
        <f>'HISTORICAL FS'!C14</f>
        <v>impairment losses on customer and other receivables</v>
      </c>
      <c r="E19">
        <f>'HISTORICAL FS'!E14</f>
        <v>28.6</v>
      </c>
      <c r="F19">
        <f>'HISTORICAL FS'!F14</f>
        <v>31</v>
      </c>
      <c r="G19">
        <f>'HISTORICAL FS'!G14</f>
        <v>36</v>
      </c>
      <c r="H19">
        <f>'HISTORICAL FS'!H14</f>
        <v>19.399999999999999</v>
      </c>
      <c r="I19">
        <f>'HISTORICAL FS'!I14</f>
        <v>7.1</v>
      </c>
      <c r="J19" s="100">
        <v>0</v>
      </c>
      <c r="K19" s="100">
        <f>J19</f>
        <v>0</v>
      </c>
      <c r="L19" s="100">
        <f t="shared" ref="L19:N19" si="9">K19</f>
        <v>0</v>
      </c>
      <c r="M19" s="100">
        <f t="shared" si="9"/>
        <v>0</v>
      </c>
      <c r="N19" s="100">
        <f t="shared" si="9"/>
        <v>0</v>
      </c>
    </row>
    <row r="20" spans="3:14" x14ac:dyDescent="0.3">
      <c r="C20" s="2" t="str">
        <f>'HISTORICAL FS'!C15</f>
        <v>Gross profit/(loss)</v>
      </c>
      <c r="E20" s="46">
        <f>E17-E18-E19</f>
        <v>1971.9999999999995</v>
      </c>
      <c r="F20" s="46">
        <f t="shared" ref="F20:H20" si="10">F17-F18-F19</f>
        <v>2175.2999999999993</v>
      </c>
      <c r="G20" s="46">
        <f t="shared" si="10"/>
        <v>2420.5</v>
      </c>
      <c r="H20" s="46">
        <f t="shared" si="10"/>
        <v>2642.1999999999994</v>
      </c>
      <c r="I20" s="46">
        <f>I17-I18-I19</f>
        <v>3046.7000000000003</v>
      </c>
      <c r="J20" s="129">
        <f>J17-J18-J19</f>
        <v>3194.9937009166783</v>
      </c>
      <c r="K20" s="129">
        <f t="shared" ref="K20:N20" si="11">K17-K18-K19</f>
        <v>3492.0741756527332</v>
      </c>
      <c r="L20" s="129">
        <f t="shared" si="11"/>
        <v>3875.2257962324848</v>
      </c>
      <c r="M20" s="129">
        <f t="shared" si="11"/>
        <v>4225.6773950117577</v>
      </c>
      <c r="N20" s="129">
        <f t="shared" si="11"/>
        <v>4575.153884856255</v>
      </c>
    </row>
    <row r="21" spans="3:14" x14ac:dyDescent="0.3">
      <c r="C21" t="str">
        <f>'HISTORICAL FS'!C16</f>
        <v>Distribution costs</v>
      </c>
      <c r="E21">
        <f>'HISTORICAL FS'!E16</f>
        <v>693.7</v>
      </c>
      <c r="F21">
        <f>'HISTORICAL FS'!F16</f>
        <v>750</v>
      </c>
      <c r="G21">
        <f>'HISTORICAL FS'!G16</f>
        <v>794.1</v>
      </c>
      <c r="H21">
        <f>'HISTORICAL FS'!H16</f>
        <v>878.8</v>
      </c>
      <c r="I21">
        <f>'HISTORICAL FS'!I16</f>
        <v>1027.0999999999999</v>
      </c>
      <c r="J21" s="100">
        <f>J17*ASSUMPTIONS!$J$57</f>
        <v>1071.0298459171495</v>
      </c>
      <c r="K21" s="100">
        <f>K17*ASSUMPTIONS!$J$57</f>
        <v>1170.6175399367842</v>
      </c>
      <c r="L21" s="100">
        <f>L17*ASSUMPTIONS!$J$57</f>
        <v>1299.0581127725611</v>
      </c>
      <c r="M21" s="100">
        <f>M17*ASSUMPTIONS!$J$57</f>
        <v>1416.5369427728497</v>
      </c>
      <c r="N21" s="100">
        <f>N17*ASSUMPTIONS!$J$57</f>
        <v>1533.6888955176792</v>
      </c>
    </row>
    <row r="22" spans="3:14" x14ac:dyDescent="0.3">
      <c r="C22" t="str">
        <f>'HISTORICAL FS'!C17</f>
        <v>Administrative expenses</v>
      </c>
      <c r="E22">
        <f>'HISTORICAL FS'!E17</f>
        <v>380.2</v>
      </c>
      <c r="F22">
        <f>'HISTORICAL FS'!F17</f>
        <v>481.8</v>
      </c>
      <c r="G22">
        <f>'HISTORICAL FS'!G17</f>
        <v>657.7</v>
      </c>
      <c r="H22">
        <f>'HISTORICAL FS'!H17</f>
        <v>670.6</v>
      </c>
      <c r="I22">
        <f>'HISTORICAL FS'!I17</f>
        <v>742.4</v>
      </c>
      <c r="J22" s="100">
        <f>J17*ASSUMPTIONS!$J$58</f>
        <v>749.19311618942118</v>
      </c>
      <c r="K22" s="100">
        <f>K17*ASSUMPTIONS!$J$58</f>
        <v>818.85542774974738</v>
      </c>
      <c r="L22" s="100">
        <f>L17*ASSUMPTIONS!$J$58</f>
        <v>908.70053652502031</v>
      </c>
      <c r="M22" s="100">
        <f>M17*ASSUMPTIONS!$J$58</f>
        <v>990.87782698029662</v>
      </c>
      <c r="N22" s="100">
        <f>N17*ASSUMPTIONS!$J$58</f>
        <v>1072.8264644334531</v>
      </c>
    </row>
    <row r="23" spans="3:14" x14ac:dyDescent="0.3">
      <c r="C23" t="str">
        <f>'HISTORICAL FS'!C18</f>
        <v>other losses/Gain-on financial instruments</v>
      </c>
      <c r="E23">
        <f>'HISTORICAL FS'!E18</f>
        <v>2.5</v>
      </c>
      <c r="F23">
        <f>'HISTORICAL FS'!F18</f>
        <v>-16.3</v>
      </c>
      <c r="G23">
        <f>'HISTORICAL FS'!G18</f>
        <v>12.3</v>
      </c>
      <c r="H23">
        <f>'HISTORICAL FS'!H18</f>
        <v>3.4</v>
      </c>
      <c r="I23">
        <f>'HISTORICAL FS'!I18</f>
        <v>-3.4</v>
      </c>
      <c r="J23" s="100">
        <v>0</v>
      </c>
      <c r="K23" s="100">
        <v>0</v>
      </c>
      <c r="L23" s="100">
        <v>0</v>
      </c>
      <c r="M23" s="100">
        <v>0</v>
      </c>
      <c r="N23" s="100">
        <v>0</v>
      </c>
    </row>
    <row r="24" spans="3:14" x14ac:dyDescent="0.3">
      <c r="C24" s="2" t="str">
        <f>'HISTORICAL FS'!C19</f>
        <v>Trading profit</v>
      </c>
      <c r="E24" s="46">
        <f>E20-E21-E22+E23</f>
        <v>900.59999999999945</v>
      </c>
      <c r="F24" s="46">
        <f t="shared" ref="F24:N24" si="12">F20-F21-F22+F23</f>
        <v>927.19999999999936</v>
      </c>
      <c r="G24" s="46">
        <f t="shared" si="12"/>
        <v>981</v>
      </c>
      <c r="H24" s="46">
        <f t="shared" si="12"/>
        <v>1096.1999999999994</v>
      </c>
      <c r="I24" s="129">
        <f t="shared" si="12"/>
        <v>1273.8000000000002</v>
      </c>
      <c r="J24" s="129">
        <f t="shared" si="12"/>
        <v>1374.7707388101076</v>
      </c>
      <c r="K24" s="129">
        <f t="shared" si="12"/>
        <v>1502.6012079662019</v>
      </c>
      <c r="L24" s="129">
        <f t="shared" si="12"/>
        <v>1667.4671469349037</v>
      </c>
      <c r="M24" s="129">
        <f t="shared" si="12"/>
        <v>1818.2626252586115</v>
      </c>
      <c r="N24" s="129">
        <f t="shared" si="12"/>
        <v>1968.6385249051227</v>
      </c>
    </row>
    <row r="25" spans="3:14" x14ac:dyDescent="0.3">
      <c r="C25" t="str">
        <f>'HISTORICAL FS'!C20</f>
        <v>share of results of associates and joint ventures</v>
      </c>
      <c r="E25">
        <f>'HISTORICAL FS'!E20</f>
        <v>4.8</v>
      </c>
      <c r="F25">
        <f>'HISTORICAL FS'!F20</f>
        <v>14.3</v>
      </c>
      <c r="G25">
        <f>'HISTORICAL FS'!G20</f>
        <v>6.9</v>
      </c>
      <c r="H25">
        <f>'HISTORICAL FS'!H20</f>
        <v>6.7</v>
      </c>
      <c r="I25">
        <f>'HISTORICAL FS'!I20</f>
        <v>7.9</v>
      </c>
      <c r="J25" s="100">
        <f>J389</f>
        <v>5.7997423256263101</v>
      </c>
      <c r="K25" s="100">
        <f t="shared" ref="K25:N25" si="13">K389</f>
        <v>6.7553392302757791</v>
      </c>
      <c r="L25" s="100">
        <f t="shared" si="13"/>
        <v>7.8683854478267534</v>
      </c>
      <c r="M25" s="100">
        <f t="shared" si="13"/>
        <v>9.1648231783978602</v>
      </c>
      <c r="N25" s="100">
        <f t="shared" si="13"/>
        <v>10.674868999268174</v>
      </c>
    </row>
    <row r="26" spans="3:14" x14ac:dyDescent="0.3">
      <c r="C26" t="str">
        <f>'HISTORICAL FS'!C21</f>
        <v>Impairment in associates and joint ventures</v>
      </c>
      <c r="H26">
        <f>'HISTORICAL FS'!H21</f>
        <v>-13</v>
      </c>
      <c r="I26">
        <f>'HISTORICAL FS'!I21</f>
        <v>-2.9</v>
      </c>
      <c r="J26" s="100">
        <f>ASSUMPTIONS!J134</f>
        <v>0</v>
      </c>
      <c r="K26" s="100">
        <f>J26</f>
        <v>0</v>
      </c>
      <c r="L26" s="100">
        <f t="shared" ref="L26:N26" si="14">K26</f>
        <v>0</v>
      </c>
      <c r="M26" s="100">
        <f t="shared" si="14"/>
        <v>0</v>
      </c>
      <c r="N26" s="100">
        <f t="shared" si="14"/>
        <v>0</v>
      </c>
    </row>
    <row r="27" spans="3:14" x14ac:dyDescent="0.3">
      <c r="C27" t="str">
        <f>'HISTORICAL FS'!C22</f>
        <v>Exceptional items- curtailment loss</v>
      </c>
      <c r="H27">
        <f>'HISTORICAL FS'!H22</f>
        <v>-14.5</v>
      </c>
      <c r="I27">
        <f>'HISTORICAL FS'!I22</f>
        <v>0</v>
      </c>
      <c r="J27" s="100">
        <f>I27</f>
        <v>0</v>
      </c>
      <c r="K27" s="100">
        <f t="shared" ref="K27:N27" si="15">J27</f>
        <v>0</v>
      </c>
      <c r="L27" s="100">
        <f t="shared" si="15"/>
        <v>0</v>
      </c>
      <c r="M27" s="100">
        <f t="shared" si="15"/>
        <v>0</v>
      </c>
      <c r="N27" s="100">
        <f t="shared" si="15"/>
        <v>0</v>
      </c>
    </row>
    <row r="28" spans="3:14" x14ac:dyDescent="0.3">
      <c r="C28" s="2" t="str">
        <f>'HISTORICAL FS'!C23</f>
        <v>Operating profit/(loss)</v>
      </c>
      <c r="E28" s="46">
        <f>SUM(E24:E27)</f>
        <v>905.39999999999941</v>
      </c>
      <c r="F28" s="46">
        <f t="shared" ref="F28:I28" si="16">SUM(F24:F27)</f>
        <v>941.49999999999932</v>
      </c>
      <c r="G28" s="46">
        <f t="shared" si="16"/>
        <v>987.9</v>
      </c>
      <c r="H28" s="46">
        <f t="shared" si="16"/>
        <v>1075.3999999999994</v>
      </c>
      <c r="I28" s="129">
        <f t="shared" si="16"/>
        <v>1278.8000000000002</v>
      </c>
      <c r="J28" s="129">
        <f>SUM(J24:J27)</f>
        <v>1380.5704811357339</v>
      </c>
      <c r="K28" s="129">
        <f t="shared" ref="K28:N28" si="17">SUM(K24:K27)</f>
        <v>1509.3565471964775</v>
      </c>
      <c r="L28" s="129">
        <f t="shared" si="17"/>
        <v>1675.3355323827304</v>
      </c>
      <c r="M28" s="129">
        <f t="shared" si="17"/>
        <v>1827.4274484370094</v>
      </c>
      <c r="N28" s="129">
        <f t="shared" si="17"/>
        <v>1979.313393904391</v>
      </c>
    </row>
    <row r="29" spans="3:14" x14ac:dyDescent="0.3">
      <c r="C29" t="str">
        <f>'HISTORICAL FS'!C24</f>
        <v>Gain on Reiss transaction- exceptional items</v>
      </c>
      <c r="G29">
        <f>'HISTORICAL FS'!G24</f>
        <v>108.6</v>
      </c>
      <c r="J29" s="100">
        <v>0</v>
      </c>
      <c r="K29" s="100">
        <f>J29</f>
        <v>0</v>
      </c>
      <c r="L29" s="100">
        <f t="shared" ref="L29:N29" si="18">K29</f>
        <v>0</v>
      </c>
      <c r="M29" s="100">
        <f t="shared" si="18"/>
        <v>0</v>
      </c>
      <c r="N29" s="100">
        <f t="shared" si="18"/>
        <v>0</v>
      </c>
    </row>
    <row r="30" spans="3:14" x14ac:dyDescent="0.3">
      <c r="C30" t="str">
        <f>'HISTORICAL FS'!C25</f>
        <v>Finance income</v>
      </c>
      <c r="E30">
        <f>'HISTORICAL FS'!E25</f>
        <v>4.2</v>
      </c>
      <c r="F30">
        <f>'HISTORICAL FS'!F25</f>
        <v>5.7</v>
      </c>
      <c r="G30">
        <f>'HISTORICAL FS'!G25</f>
        <v>6.8</v>
      </c>
      <c r="H30">
        <f>'HISTORICAL FS'!H25</f>
        <v>8.1999999999999993</v>
      </c>
      <c r="I30">
        <f>'HISTORICAL FS'!I25</f>
        <v>11</v>
      </c>
      <c r="J30" s="100">
        <f>J560</f>
        <v>3.6074999999999999</v>
      </c>
      <c r="K30" s="100">
        <f>K560</f>
        <v>4.0783889999999987</v>
      </c>
      <c r="L30" s="100">
        <f>L560</f>
        <v>8.0064959907802873</v>
      </c>
      <c r="M30" s="100">
        <f>M560</f>
        <v>9.145089425808079</v>
      </c>
      <c r="N30" s="100">
        <f>N560</f>
        <v>20.045054704595817</v>
      </c>
    </row>
    <row r="31" spans="3:14" x14ac:dyDescent="0.3">
      <c r="C31" t="str">
        <f>'HISTORICAL FS'!C26</f>
        <v>finance costs</v>
      </c>
      <c r="E31">
        <f>-'HISTORICAL FS'!E26</f>
        <v>86.5</v>
      </c>
      <c r="F31">
        <f>-'HISTORICAL FS'!F26</f>
        <v>77.900000000000006</v>
      </c>
      <c r="G31">
        <f>-'HISTORICAL FS'!G26</f>
        <v>87.5</v>
      </c>
      <c r="H31">
        <f>-'HISTORICAL FS'!H26</f>
        <v>96.6</v>
      </c>
      <c r="I31">
        <f>-'HISTORICAL FS'!I26</f>
        <v>97.2</v>
      </c>
      <c r="J31" s="100">
        <f>J554</f>
        <v>-19.459936210205811</v>
      </c>
      <c r="K31" s="100">
        <f>K554</f>
        <v>-20.939619811427441</v>
      </c>
      <c r="L31" s="100">
        <f>L554</f>
        <v>-28.678782258355781</v>
      </c>
      <c r="M31" s="100">
        <f>M554</f>
        <v>-29.824308766906544</v>
      </c>
      <c r="N31" s="100">
        <f>N554</f>
        <v>-28.241797459854705</v>
      </c>
    </row>
    <row r="32" spans="3:14" x14ac:dyDescent="0.3">
      <c r="C32" s="2" t="str">
        <f>'HISTORICAL FS'!C27</f>
        <v>Profit before taxation</v>
      </c>
      <c r="E32" s="46">
        <f>E28+E29+E30-E31</f>
        <v>823.09999999999945</v>
      </c>
      <c r="F32" s="46">
        <f t="shared" ref="F32:H32" si="19">F28+F29+F30-F31</f>
        <v>869.29999999999939</v>
      </c>
      <c r="G32" s="46">
        <f t="shared" si="19"/>
        <v>1015.8</v>
      </c>
      <c r="H32" s="46">
        <f t="shared" si="19"/>
        <v>986.99999999999943</v>
      </c>
      <c r="I32" s="129">
        <f>I28+I29+I30-I31</f>
        <v>1192.6000000000001</v>
      </c>
      <c r="J32" s="129">
        <f>J28+J29+J30-J31</f>
        <v>1403.6379173459397</v>
      </c>
      <c r="K32" s="129">
        <f t="shared" ref="K32:N32" si="20">K28+K29+K30-K31</f>
        <v>1534.3745560079051</v>
      </c>
      <c r="L32" s="129">
        <f t="shared" si="20"/>
        <v>1712.0208106318664</v>
      </c>
      <c r="M32" s="129">
        <f t="shared" si="20"/>
        <v>1866.396846629724</v>
      </c>
      <c r="N32" s="129">
        <f t="shared" si="20"/>
        <v>2027.6002460688414</v>
      </c>
    </row>
    <row r="33" spans="2:15" x14ac:dyDescent="0.3">
      <c r="C33" t="str">
        <f>'HISTORICAL FS'!C28</f>
        <v>Taxation</v>
      </c>
      <c r="E33">
        <f>-'HISTORICAL FS'!E28</f>
        <v>145.6</v>
      </c>
      <c r="F33">
        <f>-'HISTORICAL FS'!F28</f>
        <v>158.6</v>
      </c>
      <c r="G33">
        <f>-'HISTORICAL FS'!G28</f>
        <v>215.3</v>
      </c>
      <c r="H33">
        <f>-'HISTORICAL FS'!H28</f>
        <v>243.8</v>
      </c>
      <c r="I33">
        <f>-'HISTORICAL FS'!I28</f>
        <v>294.60000000000002</v>
      </c>
      <c r="J33" s="100">
        <f>J428</f>
        <v>350.90947933648494</v>
      </c>
      <c r="K33" s="100">
        <f t="shared" ref="K33:N33" si="21">K428</f>
        <v>383.59363900197627</v>
      </c>
      <c r="L33" s="100">
        <f t="shared" si="21"/>
        <v>428.00520265796661</v>
      </c>
      <c r="M33" s="100">
        <f t="shared" si="21"/>
        <v>466.599211657431</v>
      </c>
      <c r="N33" s="100">
        <f t="shared" si="21"/>
        <v>506.90006151721036</v>
      </c>
    </row>
    <row r="34" spans="2:15" x14ac:dyDescent="0.3">
      <c r="C34" s="2" t="str">
        <f>'HISTORICAL FS'!C29</f>
        <v>Net Profit</v>
      </c>
      <c r="E34" s="47">
        <f>E32-E33</f>
        <v>677.49999999999943</v>
      </c>
      <c r="F34" s="47">
        <f t="shared" ref="F34:I34" si="22">F32-F33</f>
        <v>710.69999999999936</v>
      </c>
      <c r="G34" s="47">
        <f t="shared" si="22"/>
        <v>800.5</v>
      </c>
      <c r="H34" s="47">
        <f t="shared" si="22"/>
        <v>743.19999999999936</v>
      </c>
      <c r="I34" s="47">
        <f t="shared" si="22"/>
        <v>898.00000000000011</v>
      </c>
      <c r="J34" s="57">
        <f>J32-J33</f>
        <v>1052.7284380094547</v>
      </c>
      <c r="K34" s="57">
        <f t="shared" ref="K34:N34" si="23">K32-K33</f>
        <v>1150.7809170059288</v>
      </c>
      <c r="L34" s="57">
        <f t="shared" si="23"/>
        <v>1284.0156079738999</v>
      </c>
      <c r="M34" s="57">
        <f t="shared" si="23"/>
        <v>1399.7976349722931</v>
      </c>
      <c r="N34" s="57">
        <f t="shared" si="23"/>
        <v>1520.7001845516311</v>
      </c>
    </row>
    <row r="35" spans="2:15" x14ac:dyDescent="0.3">
      <c r="C35" s="2"/>
      <c r="E35" s="2"/>
      <c r="F35" s="2"/>
      <c r="G35" s="2"/>
      <c r="H35" s="2"/>
      <c r="I35" s="2"/>
      <c r="J35" s="56"/>
      <c r="K35" s="56"/>
      <c r="L35" s="56"/>
      <c r="M35" s="56"/>
      <c r="N35" s="56"/>
    </row>
    <row r="36" spans="2:15" x14ac:dyDescent="0.3">
      <c r="C36" s="2" t="str">
        <f>'HISTORICAL FS'!C32</f>
        <v>Profit attributable to:</v>
      </c>
    </row>
    <row r="37" spans="2:15" x14ac:dyDescent="0.3">
      <c r="C37" t="str">
        <f>'HISTORICAL FS'!C33</f>
        <v>Equity holders of the parent company</v>
      </c>
      <c r="E37">
        <f>'HISTORICAL FS'!E33</f>
        <v>677.5</v>
      </c>
      <c r="F37">
        <f>'HISTORICAL FS'!F33</f>
        <v>711.7</v>
      </c>
      <c r="G37">
        <f>'HISTORICAL FS'!G33</f>
        <v>802.3</v>
      </c>
      <c r="H37">
        <f>'HISTORICAL FS'!H33</f>
        <v>736.1</v>
      </c>
      <c r="I37">
        <f>'HISTORICAL FS'!I33</f>
        <v>888.5</v>
      </c>
      <c r="J37" s="100">
        <f>J34-J38</f>
        <v>1041.4938083798252</v>
      </c>
      <c r="K37" s="100">
        <f>K34-K38</f>
        <v>1137.7566108762992</v>
      </c>
      <c r="L37" s="100">
        <f>L34-L38</f>
        <v>1268.2951096815341</v>
      </c>
      <c r="M37" s="100">
        <f>M34-M38</f>
        <v>1381.7048293861781</v>
      </c>
      <c r="N37" s="100">
        <f>N34-N38</f>
        <v>1500.4139054981624</v>
      </c>
    </row>
    <row r="38" spans="2:15" x14ac:dyDescent="0.3">
      <c r="C38" t="str">
        <f>'HISTORICAL FS'!C34</f>
        <v>non controlling interests</v>
      </c>
      <c r="E38">
        <f>'HISTORICAL FS'!E34</f>
        <v>0</v>
      </c>
      <c r="F38">
        <f>'HISTORICAL FS'!F34</f>
        <v>-1</v>
      </c>
      <c r="G38">
        <f>'HISTORICAL FS'!G34</f>
        <v>-1.8</v>
      </c>
      <c r="H38">
        <f>'HISTORICAL FS'!H34</f>
        <v>7.1</v>
      </c>
      <c r="I38">
        <f>'HISTORICAL FS'!I34</f>
        <v>9.5</v>
      </c>
      <c r="J38" s="99">
        <f>J541</f>
        <v>11.234629629629634</v>
      </c>
      <c r="K38" s="99">
        <f>K541</f>
        <v>13.024306129629634</v>
      </c>
      <c r="L38" s="99">
        <f>L541</f>
        <v>15.7204982923658</v>
      </c>
      <c r="M38" s="99">
        <f>M541</f>
        <v>18.092805586114999</v>
      </c>
      <c r="N38" s="99">
        <f>N541</f>
        <v>20.286279053468608</v>
      </c>
    </row>
    <row r="39" spans="2:15" x14ac:dyDescent="0.3">
      <c r="C39" s="2"/>
      <c r="E39" s="47">
        <f>SUM(E37:E38)</f>
        <v>677.5</v>
      </c>
      <c r="F39" s="47">
        <f t="shared" ref="F39:N39" si="24">SUM(F37:F38)</f>
        <v>710.7</v>
      </c>
      <c r="G39" s="47">
        <f t="shared" si="24"/>
        <v>800.5</v>
      </c>
      <c r="H39" s="47">
        <f t="shared" si="24"/>
        <v>743.2</v>
      </c>
      <c r="I39" s="47">
        <f t="shared" si="24"/>
        <v>898</v>
      </c>
      <c r="J39" s="111">
        <f t="shared" si="24"/>
        <v>1052.7284380094547</v>
      </c>
      <c r="K39" s="111">
        <f t="shared" si="24"/>
        <v>1150.7809170059288</v>
      </c>
      <c r="L39" s="111">
        <f t="shared" si="24"/>
        <v>1284.0156079738999</v>
      </c>
      <c r="M39" s="111">
        <f t="shared" si="24"/>
        <v>1399.7976349722931</v>
      </c>
      <c r="N39" s="111">
        <f t="shared" si="24"/>
        <v>1520.7001845516311</v>
      </c>
    </row>
    <row r="40" spans="2:15" x14ac:dyDescent="0.3">
      <c r="C40" s="2" t="str">
        <f>'HISTORICAL FS'!C36</f>
        <v xml:space="preserve">Earnings/(losses) per share </v>
      </c>
    </row>
    <row r="41" spans="2:15" x14ac:dyDescent="0.3">
      <c r="C41" s="2" t="str">
        <f>'HISTORICAL FS'!C37</f>
        <v xml:space="preserve">Basic </v>
      </c>
    </row>
    <row r="42" spans="2:15" x14ac:dyDescent="0.3">
      <c r="C42" s="2" t="str">
        <f>'HISTORICAL FS'!C38</f>
        <v>diluted</v>
      </c>
    </row>
    <row r="43" spans="2:15" x14ac:dyDescent="0.3">
      <c r="C43" s="2"/>
    </row>
    <row r="44" spans="2:15" x14ac:dyDescent="0.3">
      <c r="C44" s="2"/>
    </row>
    <row r="45" spans="2:15" x14ac:dyDescent="0.3">
      <c r="C45" s="2"/>
    </row>
    <row r="46" spans="2:15" x14ac:dyDescent="0.3">
      <c r="B46" s="157"/>
      <c r="C46" s="46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153"/>
    </row>
    <row r="47" spans="2:15" ht="18" x14ac:dyDescent="0.35">
      <c r="B47" s="156"/>
      <c r="C47" s="62" t="s">
        <v>1329</v>
      </c>
      <c r="E47" s="2"/>
      <c r="F47" s="2"/>
      <c r="G47" s="2"/>
      <c r="H47" s="2"/>
      <c r="I47" s="2"/>
      <c r="J47" s="56"/>
      <c r="K47" s="56"/>
      <c r="L47" s="56"/>
      <c r="M47" s="56"/>
      <c r="N47" s="56"/>
      <c r="O47" s="52"/>
    </row>
    <row r="48" spans="2:15" x14ac:dyDescent="0.3">
      <c r="B48" s="156"/>
      <c r="C48" s="2" t="str">
        <f>C32</f>
        <v>Profit before taxation</v>
      </c>
      <c r="E48" s="2">
        <f>E32</f>
        <v>823.09999999999945</v>
      </c>
      <c r="F48" s="2">
        <f t="shared" ref="F48:N48" si="25">F32</f>
        <v>869.29999999999939</v>
      </c>
      <c r="G48" s="2">
        <f t="shared" si="25"/>
        <v>1015.8</v>
      </c>
      <c r="H48" s="2">
        <f t="shared" si="25"/>
        <v>986.99999999999943</v>
      </c>
      <c r="I48" s="2">
        <f t="shared" si="25"/>
        <v>1192.6000000000001</v>
      </c>
      <c r="J48" s="126">
        <f t="shared" si="25"/>
        <v>1403.6379173459397</v>
      </c>
      <c r="K48" s="126">
        <f t="shared" si="25"/>
        <v>1534.3745560079051</v>
      </c>
      <c r="L48" s="126">
        <f t="shared" si="25"/>
        <v>1712.0208106318664</v>
      </c>
      <c r="M48" s="126">
        <f t="shared" si="25"/>
        <v>1866.396846629724</v>
      </c>
      <c r="N48" s="126">
        <f t="shared" si="25"/>
        <v>2027.6002460688414</v>
      </c>
      <c r="O48" s="52"/>
    </row>
    <row r="49" spans="2:15" x14ac:dyDescent="0.3">
      <c r="B49" s="156" t="s">
        <v>1330</v>
      </c>
      <c r="C49" s="2"/>
      <c r="E49" s="2"/>
      <c r="F49" s="2"/>
      <c r="G49" s="2"/>
      <c r="H49" s="2"/>
      <c r="I49" s="2"/>
      <c r="J49" s="56"/>
      <c r="K49" s="56"/>
      <c r="L49" s="56"/>
      <c r="M49" s="56"/>
      <c r="N49" s="56"/>
      <c r="O49" s="52"/>
    </row>
    <row r="50" spans="2:15" x14ac:dyDescent="0.3">
      <c r="B50" s="156"/>
      <c r="C50" t="str">
        <f>C29</f>
        <v>Gain on Reiss transaction- exceptional items</v>
      </c>
      <c r="E50">
        <f>E29</f>
        <v>0</v>
      </c>
      <c r="F50">
        <f>F29</f>
        <v>0</v>
      </c>
      <c r="G50">
        <f>G29</f>
        <v>108.6</v>
      </c>
      <c r="H50">
        <f>H29</f>
        <v>0</v>
      </c>
      <c r="I50">
        <f>I29</f>
        <v>0</v>
      </c>
      <c r="J50">
        <f t="shared" ref="J50:N50" si="26">J29</f>
        <v>0</v>
      </c>
      <c r="K50">
        <f t="shared" si="26"/>
        <v>0</v>
      </c>
      <c r="L50">
        <f t="shared" si="26"/>
        <v>0</v>
      </c>
      <c r="M50">
        <f t="shared" si="26"/>
        <v>0</v>
      </c>
      <c r="N50">
        <f t="shared" si="26"/>
        <v>0</v>
      </c>
      <c r="O50" s="52"/>
    </row>
    <row r="51" spans="2:15" x14ac:dyDescent="0.3">
      <c r="B51" s="156"/>
      <c r="C51" t="str">
        <f>C27</f>
        <v>Exceptional items- curtailment loss</v>
      </c>
      <c r="E51">
        <f>E27</f>
        <v>0</v>
      </c>
      <c r="F51">
        <f>F27</f>
        <v>0</v>
      </c>
      <c r="G51">
        <f>G27</f>
        <v>0</v>
      </c>
      <c r="H51">
        <f>H27</f>
        <v>-14.5</v>
      </c>
      <c r="I51">
        <f>I27</f>
        <v>0</v>
      </c>
      <c r="J51">
        <f t="shared" ref="J51:N51" si="27">J27</f>
        <v>0</v>
      </c>
      <c r="K51">
        <f t="shared" si="27"/>
        <v>0</v>
      </c>
      <c r="L51">
        <f t="shared" si="27"/>
        <v>0</v>
      </c>
      <c r="M51">
        <f t="shared" si="27"/>
        <v>0</v>
      </c>
      <c r="N51">
        <f t="shared" si="27"/>
        <v>0</v>
      </c>
      <c r="O51" s="52"/>
    </row>
    <row r="52" spans="2:15" x14ac:dyDescent="0.3">
      <c r="B52" s="156"/>
      <c r="C52" t="str">
        <f>C26</f>
        <v>Impairment in associates and joint ventures</v>
      </c>
      <c r="E52">
        <f>E26</f>
        <v>0</v>
      </c>
      <c r="F52">
        <f>F26</f>
        <v>0</v>
      </c>
      <c r="G52">
        <f>G26</f>
        <v>0</v>
      </c>
      <c r="H52">
        <f>-H26</f>
        <v>13</v>
      </c>
      <c r="I52">
        <f>-I26</f>
        <v>2.9</v>
      </c>
      <c r="J52">
        <f t="shared" ref="J52:N52" si="28">-J26</f>
        <v>0</v>
      </c>
      <c r="K52">
        <f t="shared" si="28"/>
        <v>0</v>
      </c>
      <c r="L52">
        <f t="shared" si="28"/>
        <v>0</v>
      </c>
      <c r="M52">
        <f t="shared" si="28"/>
        <v>0</v>
      </c>
      <c r="N52">
        <f t="shared" si="28"/>
        <v>0</v>
      </c>
      <c r="O52" s="52"/>
    </row>
    <row r="53" spans="2:15" x14ac:dyDescent="0.3">
      <c r="B53" s="156"/>
      <c r="C53" t="str">
        <f>C23</f>
        <v>other losses/Gain-on financial instruments</v>
      </c>
      <c r="E53">
        <f>-E23</f>
        <v>-2.5</v>
      </c>
      <c r="F53">
        <f t="shared" ref="F53:H53" si="29">-F23</f>
        <v>16.3</v>
      </c>
      <c r="G53">
        <f t="shared" si="29"/>
        <v>-12.3</v>
      </c>
      <c r="H53">
        <f t="shared" si="29"/>
        <v>-3.4</v>
      </c>
      <c r="I53">
        <f>-I23</f>
        <v>3.4</v>
      </c>
      <c r="J53">
        <f t="shared" ref="J53:N53" si="30">-J23</f>
        <v>0</v>
      </c>
      <c r="K53">
        <f t="shared" si="30"/>
        <v>0</v>
      </c>
      <c r="L53">
        <f t="shared" si="30"/>
        <v>0</v>
      </c>
      <c r="M53">
        <f t="shared" si="30"/>
        <v>0</v>
      </c>
      <c r="N53">
        <f t="shared" si="30"/>
        <v>0</v>
      </c>
      <c r="O53" s="52"/>
    </row>
    <row r="54" spans="2:15" x14ac:dyDescent="0.3">
      <c r="B54" s="156"/>
      <c r="C54" s="2"/>
      <c r="E54" s="46">
        <f>SUM(E48:E53)</f>
        <v>820.59999999999945</v>
      </c>
      <c r="F54" s="46">
        <f t="shared" ref="F54:I54" si="31">SUM(F48:F53)</f>
        <v>885.59999999999934</v>
      </c>
      <c r="G54" s="46">
        <f t="shared" si="31"/>
        <v>1112.0999999999999</v>
      </c>
      <c r="H54" s="46">
        <f t="shared" si="31"/>
        <v>982.09999999999945</v>
      </c>
      <c r="I54" s="46">
        <f t="shared" si="31"/>
        <v>1198.9000000000003</v>
      </c>
      <c r="J54" s="128">
        <f t="shared" ref="J54" si="32">SUM(J48:J53)</f>
        <v>1403.6379173459397</v>
      </c>
      <c r="K54" s="128">
        <f t="shared" ref="K54" si="33">SUM(K48:K53)</f>
        <v>1534.3745560079051</v>
      </c>
      <c r="L54" s="128">
        <f t="shared" ref="L54" si="34">SUM(L48:L53)</f>
        <v>1712.0208106318664</v>
      </c>
      <c r="M54" s="128">
        <f t="shared" ref="M54" si="35">SUM(M48:M53)</f>
        <v>1866.396846629724</v>
      </c>
      <c r="N54" s="128">
        <f t="shared" ref="N54" si="36">SUM(N48:N53)</f>
        <v>2027.6002460688414</v>
      </c>
      <c r="O54" s="52"/>
    </row>
    <row r="55" spans="2:15" x14ac:dyDescent="0.3">
      <c r="B55" s="156"/>
      <c r="C55" s="2" t="str">
        <f>C807</f>
        <v>other non -recurring items</v>
      </c>
      <c r="E55" s="2">
        <f>E807</f>
        <v>-32.699999999999996</v>
      </c>
      <c r="F55" s="2">
        <f t="shared" ref="F55:I55" si="37">F807</f>
        <v>-57.900000000000006</v>
      </c>
      <c r="G55" s="2">
        <f t="shared" si="37"/>
        <v>-5.0999999999999943</v>
      </c>
      <c r="H55" s="2">
        <f t="shared" si="37"/>
        <v>4.5000000000000053</v>
      </c>
      <c r="I55" s="2">
        <f t="shared" si="37"/>
        <v>-13.099999999999996</v>
      </c>
      <c r="J55" s="56">
        <v>0</v>
      </c>
      <c r="K55" s="56">
        <f>J55</f>
        <v>0</v>
      </c>
      <c r="L55" s="56">
        <f t="shared" ref="L55:N55" si="38">K55</f>
        <v>0</v>
      </c>
      <c r="M55" s="56">
        <f t="shared" si="38"/>
        <v>0</v>
      </c>
      <c r="N55" s="56">
        <f t="shared" si="38"/>
        <v>0</v>
      </c>
      <c r="O55" s="52"/>
    </row>
    <row r="56" spans="2:15" x14ac:dyDescent="0.3">
      <c r="B56" s="156"/>
      <c r="C56" s="2" t="s">
        <v>1337</v>
      </c>
      <c r="E56" s="47">
        <f>SUM(E54:E55)</f>
        <v>787.89999999999941</v>
      </c>
      <c r="F56" s="47">
        <f t="shared" ref="F56:I56" si="39">SUM(F54:F55)</f>
        <v>827.69999999999936</v>
      </c>
      <c r="G56" s="47">
        <f t="shared" si="39"/>
        <v>1107</v>
      </c>
      <c r="H56" s="47">
        <f t="shared" si="39"/>
        <v>986.59999999999945</v>
      </c>
      <c r="I56" s="47">
        <f t="shared" si="39"/>
        <v>1185.8000000000004</v>
      </c>
      <c r="J56" s="111">
        <f t="shared" ref="J56" si="40">SUM(J54:J55)</f>
        <v>1403.6379173459397</v>
      </c>
      <c r="K56" s="111">
        <f t="shared" ref="K56" si="41">SUM(K54:K55)</f>
        <v>1534.3745560079051</v>
      </c>
      <c r="L56" s="111">
        <f t="shared" ref="L56" si="42">SUM(L54:L55)</f>
        <v>1712.0208106318664</v>
      </c>
      <c r="M56" s="111">
        <f t="shared" ref="M56" si="43">SUM(M54:M55)</f>
        <v>1866.396846629724</v>
      </c>
      <c r="N56" s="111">
        <f t="shared" ref="N56" si="44">SUM(N54:N55)</f>
        <v>2027.6002460688414</v>
      </c>
      <c r="O56" s="52"/>
    </row>
    <row r="57" spans="2:15" x14ac:dyDescent="0.3">
      <c r="B57" s="156"/>
      <c r="C57" s="2"/>
      <c r="E57" s="2"/>
      <c r="F57" s="2"/>
      <c r="G57" s="2"/>
      <c r="H57" s="2"/>
      <c r="I57" s="2"/>
      <c r="J57" s="56"/>
      <c r="K57" s="56"/>
      <c r="L57" s="56"/>
      <c r="M57" s="56"/>
      <c r="N57" s="56"/>
      <c r="O57" s="52"/>
    </row>
    <row r="58" spans="2:15" x14ac:dyDescent="0.3">
      <c r="B58" s="156"/>
      <c r="C58" s="2"/>
      <c r="E58" s="2"/>
      <c r="F58" s="2"/>
      <c r="G58" s="2"/>
      <c r="H58" s="2"/>
      <c r="I58" s="2"/>
      <c r="J58" s="56"/>
      <c r="K58" s="56"/>
      <c r="L58" s="56"/>
      <c r="M58" s="56"/>
      <c r="N58" s="56"/>
      <c r="O58" s="52"/>
    </row>
    <row r="59" spans="2:15" x14ac:dyDescent="0.3">
      <c r="B59" s="156"/>
      <c r="C59" s="2" t="str">
        <f>C28</f>
        <v>Operating profit/(loss)</v>
      </c>
      <c r="E59" s="2">
        <f>E28</f>
        <v>905.39999999999941</v>
      </c>
      <c r="F59" s="2">
        <f t="shared" ref="F59:N59" si="45">F28</f>
        <v>941.49999999999932</v>
      </c>
      <c r="G59" s="2">
        <f t="shared" si="45"/>
        <v>987.9</v>
      </c>
      <c r="H59" s="2">
        <f t="shared" si="45"/>
        <v>1075.3999999999994</v>
      </c>
      <c r="I59" s="2">
        <f t="shared" si="45"/>
        <v>1278.8000000000002</v>
      </c>
      <c r="J59" s="126">
        <f t="shared" si="45"/>
        <v>1380.5704811357339</v>
      </c>
      <c r="K59" s="126">
        <f t="shared" si="45"/>
        <v>1509.3565471964775</v>
      </c>
      <c r="L59" s="126">
        <f t="shared" si="45"/>
        <v>1675.3355323827304</v>
      </c>
      <c r="M59" s="126">
        <f t="shared" si="45"/>
        <v>1827.4274484370094</v>
      </c>
      <c r="N59" s="2">
        <f t="shared" si="45"/>
        <v>1979.313393904391</v>
      </c>
      <c r="O59" s="52"/>
    </row>
    <row r="60" spans="2:15" x14ac:dyDescent="0.3">
      <c r="B60" s="156"/>
      <c r="C60" t="str">
        <f>C55</f>
        <v>other non -recurring items</v>
      </c>
      <c r="E60">
        <f>E55</f>
        <v>-32.699999999999996</v>
      </c>
      <c r="F60">
        <f t="shared" ref="F60:N60" si="46">F55</f>
        <v>-57.900000000000006</v>
      </c>
      <c r="G60">
        <f t="shared" si="46"/>
        <v>-5.0999999999999943</v>
      </c>
      <c r="H60">
        <f t="shared" si="46"/>
        <v>4.5000000000000053</v>
      </c>
      <c r="I60">
        <f t="shared" si="46"/>
        <v>-13.099999999999996</v>
      </c>
      <c r="J60">
        <f t="shared" si="46"/>
        <v>0</v>
      </c>
      <c r="K60">
        <f t="shared" si="46"/>
        <v>0</v>
      </c>
      <c r="L60">
        <f t="shared" si="46"/>
        <v>0</v>
      </c>
      <c r="M60">
        <f t="shared" si="46"/>
        <v>0</v>
      </c>
      <c r="N60">
        <f t="shared" si="46"/>
        <v>0</v>
      </c>
      <c r="O60" s="52"/>
    </row>
    <row r="61" spans="2:15" x14ac:dyDescent="0.3">
      <c r="B61" s="156"/>
      <c r="C61" t="str">
        <f>C51</f>
        <v>Exceptional items- curtailment loss</v>
      </c>
      <c r="E61">
        <f t="shared" ref="C61:E62" si="47">E51</f>
        <v>0</v>
      </c>
      <c r="F61">
        <f t="shared" ref="F61:I61" si="48">F51</f>
        <v>0</v>
      </c>
      <c r="G61">
        <f t="shared" si="48"/>
        <v>0</v>
      </c>
      <c r="H61">
        <f t="shared" si="48"/>
        <v>-14.5</v>
      </c>
      <c r="I61">
        <f t="shared" si="48"/>
        <v>0</v>
      </c>
      <c r="J61">
        <f t="shared" ref="J61:N61" si="49">J51</f>
        <v>0</v>
      </c>
      <c r="K61">
        <f t="shared" si="49"/>
        <v>0</v>
      </c>
      <c r="L61">
        <f t="shared" si="49"/>
        <v>0</v>
      </c>
      <c r="M61">
        <f t="shared" si="49"/>
        <v>0</v>
      </c>
      <c r="N61">
        <f t="shared" si="49"/>
        <v>0</v>
      </c>
      <c r="O61" s="52"/>
    </row>
    <row r="62" spans="2:15" x14ac:dyDescent="0.3">
      <c r="B62" s="156"/>
      <c r="C62" t="str">
        <f t="shared" si="47"/>
        <v>Impairment in associates and joint ventures</v>
      </c>
      <c r="E62">
        <f t="shared" si="47"/>
        <v>0</v>
      </c>
      <c r="F62">
        <f t="shared" ref="F62:I62" si="50">F52</f>
        <v>0</v>
      </c>
      <c r="G62">
        <f t="shared" si="50"/>
        <v>0</v>
      </c>
      <c r="H62">
        <f t="shared" si="50"/>
        <v>13</v>
      </c>
      <c r="I62">
        <f t="shared" si="50"/>
        <v>2.9</v>
      </c>
      <c r="J62">
        <f t="shared" ref="J62:N62" si="51">J52</f>
        <v>0</v>
      </c>
      <c r="K62">
        <f t="shared" si="51"/>
        <v>0</v>
      </c>
      <c r="L62">
        <f t="shared" si="51"/>
        <v>0</v>
      </c>
      <c r="M62">
        <f t="shared" si="51"/>
        <v>0</v>
      </c>
      <c r="N62">
        <f t="shared" si="51"/>
        <v>0</v>
      </c>
      <c r="O62" s="52"/>
    </row>
    <row r="63" spans="2:15" x14ac:dyDescent="0.3">
      <c r="B63" s="156"/>
      <c r="C63" t="str">
        <f>C53</f>
        <v>other losses/Gain-on financial instruments</v>
      </c>
      <c r="E63">
        <f>E53</f>
        <v>-2.5</v>
      </c>
      <c r="F63">
        <f t="shared" ref="F63:I63" si="52">F53</f>
        <v>16.3</v>
      </c>
      <c r="G63">
        <f t="shared" si="52"/>
        <v>-12.3</v>
      </c>
      <c r="H63">
        <f t="shared" si="52"/>
        <v>-3.4</v>
      </c>
      <c r="I63">
        <f t="shared" si="52"/>
        <v>3.4</v>
      </c>
      <c r="J63">
        <f t="shared" ref="J63:N63" si="53">J53</f>
        <v>0</v>
      </c>
      <c r="K63">
        <f t="shared" si="53"/>
        <v>0</v>
      </c>
      <c r="L63">
        <f t="shared" si="53"/>
        <v>0</v>
      </c>
      <c r="M63">
        <f t="shared" si="53"/>
        <v>0</v>
      </c>
      <c r="N63">
        <f t="shared" si="53"/>
        <v>0</v>
      </c>
      <c r="O63" s="52"/>
    </row>
    <row r="64" spans="2:15" x14ac:dyDescent="0.3">
      <c r="B64" s="156"/>
      <c r="C64" s="2" t="s">
        <v>1348</v>
      </c>
      <c r="E64" s="46">
        <f>SUM(E59:E63)</f>
        <v>870.19999999999936</v>
      </c>
      <c r="F64" s="46">
        <f t="shared" ref="F64:I64" si="54">SUM(F59:F63)</f>
        <v>899.8999999999993</v>
      </c>
      <c r="G64" s="46">
        <f t="shared" si="54"/>
        <v>970.5</v>
      </c>
      <c r="H64" s="46">
        <f t="shared" si="54"/>
        <v>1074.9999999999993</v>
      </c>
      <c r="I64" s="46">
        <f t="shared" si="54"/>
        <v>1272.0000000000005</v>
      </c>
      <c r="J64" s="128">
        <f t="shared" ref="J64" si="55">SUM(J59:J63)</f>
        <v>1380.5704811357339</v>
      </c>
      <c r="K64" s="128">
        <f t="shared" ref="K64" si="56">SUM(K59:K63)</f>
        <v>1509.3565471964775</v>
      </c>
      <c r="L64" s="128">
        <f t="shared" ref="L64" si="57">SUM(L59:L63)</f>
        <v>1675.3355323827304</v>
      </c>
      <c r="M64" s="128">
        <f t="shared" ref="M64" si="58">SUM(M59:M63)</f>
        <v>1827.4274484370094</v>
      </c>
      <c r="N64" s="128">
        <f t="shared" ref="N64" si="59">SUM(N59:N63)</f>
        <v>1979.313393904391</v>
      </c>
      <c r="O64" s="52"/>
    </row>
    <row r="65" spans="2:26" x14ac:dyDescent="0.3">
      <c r="B65" s="156"/>
      <c r="J65" s="56"/>
      <c r="K65" s="56"/>
      <c r="L65" s="56"/>
      <c r="M65" s="56"/>
      <c r="N65" s="56"/>
      <c r="O65" s="52"/>
    </row>
    <row r="66" spans="2:26" x14ac:dyDescent="0.3">
      <c r="B66" s="156"/>
      <c r="C66" t="s">
        <v>1338</v>
      </c>
      <c r="E66">
        <f>E810+E811</f>
        <v>220.6</v>
      </c>
      <c r="F66">
        <f t="shared" ref="F66:I66" si="60">F810+F811</f>
        <v>219.6</v>
      </c>
      <c r="G66">
        <f t="shared" si="60"/>
        <v>240.60000000000002</v>
      </c>
      <c r="H66">
        <f t="shared" si="60"/>
        <v>288.90000000000003</v>
      </c>
      <c r="I66">
        <f t="shared" si="60"/>
        <v>302.5</v>
      </c>
      <c r="J66" s="100">
        <f>J96+J97+J98</f>
        <v>307.61187980858148</v>
      </c>
      <c r="K66" s="100">
        <f t="shared" ref="K66:N66" si="61">K96+K97+K98</f>
        <v>325.68159727123418</v>
      </c>
      <c r="L66" s="100">
        <f t="shared" si="61"/>
        <v>342.50128290069199</v>
      </c>
      <c r="M66" s="100">
        <f t="shared" si="61"/>
        <v>358.69838656896417</v>
      </c>
      <c r="N66" s="100">
        <f t="shared" si="61"/>
        <v>374.13674201416222</v>
      </c>
      <c r="O66" s="52"/>
    </row>
    <row r="67" spans="2:26" x14ac:dyDescent="0.3">
      <c r="B67" s="156"/>
      <c r="C67" s="2" t="s">
        <v>1349</v>
      </c>
      <c r="E67" s="47">
        <f>E64+E66</f>
        <v>1090.7999999999993</v>
      </c>
      <c r="F67" s="47">
        <f t="shared" ref="F67:I67" si="62">F64+F66</f>
        <v>1119.4999999999993</v>
      </c>
      <c r="G67" s="47">
        <f t="shared" si="62"/>
        <v>1211.0999999999999</v>
      </c>
      <c r="H67" s="47">
        <f t="shared" si="62"/>
        <v>1363.8999999999994</v>
      </c>
      <c r="I67" s="47">
        <f t="shared" si="62"/>
        <v>1574.5000000000005</v>
      </c>
      <c r="J67" s="111">
        <f t="shared" ref="J67" si="63">J64+J66</f>
        <v>1688.1823609443154</v>
      </c>
      <c r="K67" s="111">
        <f t="shared" ref="K67" si="64">K64+K66</f>
        <v>1835.0381444677118</v>
      </c>
      <c r="L67" s="111">
        <f t="shared" ref="L67" si="65">L64+L66</f>
        <v>2017.8368152834223</v>
      </c>
      <c r="M67" s="111">
        <f t="shared" ref="M67" si="66">M64+M66</f>
        <v>2186.1258350059734</v>
      </c>
      <c r="N67" s="111">
        <f t="shared" ref="N67" si="67">N64+N66</f>
        <v>2353.4501359185533</v>
      </c>
      <c r="O67" s="52"/>
    </row>
    <row r="68" spans="2:26" x14ac:dyDescent="0.3">
      <c r="B68" s="156"/>
      <c r="C68" s="2"/>
      <c r="E68" s="2"/>
      <c r="F68" s="2"/>
      <c r="G68" s="2"/>
      <c r="H68" s="2"/>
      <c r="I68" s="2"/>
      <c r="J68" s="56"/>
      <c r="K68" s="56"/>
      <c r="L68" s="56"/>
      <c r="M68" s="56"/>
      <c r="N68" s="56"/>
      <c r="O68" s="52"/>
    </row>
    <row r="69" spans="2:26" x14ac:dyDescent="0.3">
      <c r="B69" s="156"/>
      <c r="C69" s="2"/>
      <c r="E69" s="2"/>
      <c r="F69" s="2"/>
      <c r="G69" s="2"/>
      <c r="H69" s="2"/>
      <c r="I69" s="2"/>
      <c r="J69" s="56"/>
      <c r="K69" s="56"/>
      <c r="L69" s="56"/>
      <c r="M69" s="56"/>
      <c r="N69" s="56"/>
      <c r="O69" s="52"/>
    </row>
    <row r="70" spans="2:26" x14ac:dyDescent="0.3">
      <c r="B70" s="156"/>
      <c r="C70" t="s">
        <v>1339</v>
      </c>
      <c r="E70">
        <f>G816</f>
        <v>136.79999999999998</v>
      </c>
      <c r="F70">
        <f>J816</f>
        <v>148.19999999999999</v>
      </c>
      <c r="G70">
        <f>M816</f>
        <v>238.10000000000002</v>
      </c>
      <c r="H70">
        <f>P816</f>
        <v>243.70000000000002</v>
      </c>
      <c r="I70">
        <f>S816</f>
        <v>292.90000000000003</v>
      </c>
      <c r="J70" s="100">
        <f>J33</f>
        <v>350.90947933648494</v>
      </c>
      <c r="K70" s="100">
        <f t="shared" ref="K70:N70" si="68">K33</f>
        <v>383.59363900197627</v>
      </c>
      <c r="L70" s="100">
        <f t="shared" si="68"/>
        <v>428.00520265796661</v>
      </c>
      <c r="M70" s="100">
        <f t="shared" si="68"/>
        <v>466.599211657431</v>
      </c>
      <c r="N70" s="100">
        <f t="shared" si="68"/>
        <v>506.90006151721036</v>
      </c>
      <c r="O70" s="52"/>
    </row>
    <row r="71" spans="2:26" ht="15" thickBot="1" x14ac:dyDescent="0.35">
      <c r="B71" s="156"/>
      <c r="C71" s="2" t="s">
        <v>1340</v>
      </c>
      <c r="E71" s="191">
        <f>E56-E70</f>
        <v>651.09999999999945</v>
      </c>
      <c r="F71" s="191">
        <f t="shared" ref="F71:N71" si="69">F56-F70</f>
        <v>679.49999999999932</v>
      </c>
      <c r="G71" s="191">
        <f t="shared" si="69"/>
        <v>868.9</v>
      </c>
      <c r="H71" s="191">
        <f t="shared" si="69"/>
        <v>742.89999999999941</v>
      </c>
      <c r="I71" s="191">
        <f t="shared" si="69"/>
        <v>892.90000000000032</v>
      </c>
      <c r="J71" s="192">
        <f t="shared" si="69"/>
        <v>1052.7284380094547</v>
      </c>
      <c r="K71" s="192">
        <f t="shared" si="69"/>
        <v>1150.7809170059288</v>
      </c>
      <c r="L71" s="192">
        <f t="shared" si="69"/>
        <v>1284.0156079738999</v>
      </c>
      <c r="M71" s="192">
        <f t="shared" si="69"/>
        <v>1399.7976349722931</v>
      </c>
      <c r="N71" s="192">
        <f t="shared" si="69"/>
        <v>1520.7001845516311</v>
      </c>
      <c r="O71" s="52"/>
    </row>
    <row r="72" spans="2:26" ht="15" thickTop="1" x14ac:dyDescent="0.3">
      <c r="B72" s="156"/>
      <c r="C72" s="2"/>
      <c r="E72" s="2"/>
      <c r="F72" s="2"/>
      <c r="G72" s="2"/>
      <c r="H72" s="2"/>
      <c r="I72" s="2"/>
      <c r="J72" s="56"/>
      <c r="K72" s="56"/>
      <c r="L72" s="56"/>
      <c r="M72" s="56"/>
      <c r="N72" s="56"/>
      <c r="O72" s="52"/>
    </row>
    <row r="73" spans="2:26" x14ac:dyDescent="0.3">
      <c r="B73" s="158"/>
      <c r="C73" s="149" t="s">
        <v>620</v>
      </c>
      <c r="D73" s="135"/>
      <c r="E73" s="193">
        <f>E64-(E64*$J$420)</f>
        <v>652.64999999999952</v>
      </c>
      <c r="F73" s="193">
        <f t="shared" ref="F73:N73" si="70">F64-(F64*$J$420)</f>
        <v>674.9249999999995</v>
      </c>
      <c r="G73" s="193">
        <f t="shared" si="70"/>
        <v>727.875</v>
      </c>
      <c r="H73" s="193">
        <f t="shared" si="70"/>
        <v>806.24999999999955</v>
      </c>
      <c r="I73" s="193">
        <f t="shared" si="70"/>
        <v>954.00000000000034</v>
      </c>
      <c r="J73" s="193">
        <f t="shared" si="70"/>
        <v>1035.4278608518005</v>
      </c>
      <c r="K73" s="193">
        <f t="shared" si="70"/>
        <v>1132.0174103973582</v>
      </c>
      <c r="L73" s="193">
        <f t="shared" si="70"/>
        <v>1256.5016492870477</v>
      </c>
      <c r="M73" s="193">
        <f t="shared" si="70"/>
        <v>1370.5705863277572</v>
      </c>
      <c r="N73" s="193">
        <f t="shared" si="70"/>
        <v>1484.4850454282932</v>
      </c>
      <c r="O73" s="155"/>
    </row>
    <row r="76" spans="2:26" x14ac:dyDescent="0.3">
      <c r="C76" s="2"/>
    </row>
    <row r="77" spans="2:26" x14ac:dyDescent="0.3">
      <c r="B77" s="157"/>
      <c r="C77" s="169" t="s">
        <v>303</v>
      </c>
      <c r="D77" s="48" t="s">
        <v>1022</v>
      </c>
      <c r="E77" s="194">
        <f>E64/E17</f>
        <v>0.18811474523876423</v>
      </c>
      <c r="F77" s="194">
        <f t="shared" ref="F77:N77" si="71">F64/F17</f>
        <v>0.17876440206595143</v>
      </c>
      <c r="G77" s="194">
        <f t="shared" si="71"/>
        <v>0.17674376252048807</v>
      </c>
      <c r="H77" s="194">
        <f t="shared" si="71"/>
        <v>0.17570814468544146</v>
      </c>
      <c r="I77" s="194">
        <f t="shared" si="71"/>
        <v>0.18431310043035376</v>
      </c>
      <c r="J77" s="194">
        <f>J64/J17</f>
        <v>0.18975077616347968</v>
      </c>
      <c r="K77" s="194">
        <f t="shared" si="71"/>
        <v>0.18980312867593535</v>
      </c>
      <c r="L77" s="194">
        <f t="shared" si="71"/>
        <v>0.18984526565682147</v>
      </c>
      <c r="M77" s="194">
        <f t="shared" si="71"/>
        <v>0.18990604520768156</v>
      </c>
      <c r="N77" s="194">
        <f t="shared" si="71"/>
        <v>0.18997823191845642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153"/>
    </row>
    <row r="78" spans="2:26" x14ac:dyDescent="0.3">
      <c r="B78" s="156"/>
      <c r="C78" s="167" t="s">
        <v>304</v>
      </c>
      <c r="D78" t="s">
        <v>1022</v>
      </c>
      <c r="E78" s="159">
        <f>E67/E17</f>
        <v>0.23580276270563552</v>
      </c>
      <c r="F78" s="159">
        <f t="shared" ref="F78:N78" si="72">F67/F17</f>
        <v>0.22238776321017073</v>
      </c>
      <c r="G78" s="159">
        <f t="shared" si="72"/>
        <v>0.22056091786559823</v>
      </c>
      <c r="H78" s="159">
        <f t="shared" si="72"/>
        <v>0.22292868701067317</v>
      </c>
      <c r="I78" s="159">
        <f t="shared" si="72"/>
        <v>0.22814542187703771</v>
      </c>
      <c r="J78" s="159">
        <f t="shared" si="72"/>
        <v>0.23203010470798638</v>
      </c>
      <c r="K78" s="159">
        <f t="shared" si="72"/>
        <v>0.23075792244489202</v>
      </c>
      <c r="L78" s="159">
        <f t="shared" si="72"/>
        <v>0.22865674298972727</v>
      </c>
      <c r="M78" s="159">
        <f t="shared" si="72"/>
        <v>0.22718193929253291</v>
      </c>
      <c r="N78" s="159">
        <f t="shared" si="72"/>
        <v>0.22588858192289618</v>
      </c>
      <c r="Z78" s="52"/>
    </row>
    <row r="79" spans="2:26" x14ac:dyDescent="0.3">
      <c r="B79" s="156"/>
      <c r="C79" s="167" t="s">
        <v>1347</v>
      </c>
      <c r="D79" t="s">
        <v>1022</v>
      </c>
      <c r="E79" s="159">
        <f>E73/E17</f>
        <v>0.14108605892907317</v>
      </c>
      <c r="F79" s="159">
        <f t="shared" ref="F79:N79" si="73">F73/F17</f>
        <v>0.13407330154946356</v>
      </c>
      <c r="G79" s="159">
        <f t="shared" si="73"/>
        <v>0.13255782189036605</v>
      </c>
      <c r="H79" s="159">
        <f t="shared" si="73"/>
        <v>0.13178110851408112</v>
      </c>
      <c r="I79" s="159">
        <f t="shared" si="73"/>
        <v>0.13823482532276532</v>
      </c>
      <c r="J79" s="159">
        <f t="shared" si="73"/>
        <v>0.14231308212260976</v>
      </c>
      <c r="K79" s="159">
        <f t="shared" si="73"/>
        <v>0.1423523465069515</v>
      </c>
      <c r="L79" s="159">
        <f t="shared" si="73"/>
        <v>0.1423839492426161</v>
      </c>
      <c r="M79" s="159">
        <f t="shared" si="73"/>
        <v>0.14242953390576119</v>
      </c>
      <c r="N79" s="159">
        <f t="shared" si="73"/>
        <v>0.14248367393884231</v>
      </c>
      <c r="Z79" s="52"/>
    </row>
    <row r="80" spans="2:26" x14ac:dyDescent="0.3">
      <c r="B80" s="156"/>
      <c r="C80" s="167" t="s">
        <v>1313</v>
      </c>
      <c r="D80" t="s">
        <v>1022</v>
      </c>
      <c r="E80" s="60">
        <f>E71/E17</f>
        <v>0.14075098899673566</v>
      </c>
      <c r="F80" s="60">
        <f t="shared" ref="F80:N80" si="74">F71/F17</f>
        <v>0.13498212157330144</v>
      </c>
      <c r="G80" s="60">
        <f t="shared" si="74"/>
        <v>0.15824075760335093</v>
      </c>
      <c r="H80" s="60">
        <f t="shared" si="74"/>
        <v>0.12142658668540879</v>
      </c>
      <c r="I80" s="60">
        <f t="shared" si="74"/>
        <v>0.12938142089171609</v>
      </c>
      <c r="J80" s="60">
        <f t="shared" si="74"/>
        <v>0.14469093822528439</v>
      </c>
      <c r="K80" s="60">
        <f t="shared" si="74"/>
        <v>0.14471187664305704</v>
      </c>
      <c r="L80" s="60">
        <f t="shared" si="74"/>
        <v>0.14550176934206049</v>
      </c>
      <c r="M80" s="60">
        <f t="shared" si="74"/>
        <v>0.14546680535854775</v>
      </c>
      <c r="N80" s="60">
        <f t="shared" si="74"/>
        <v>0.14595967128242671</v>
      </c>
      <c r="Z80" s="52"/>
    </row>
    <row r="81" spans="2:26" x14ac:dyDescent="0.3">
      <c r="B81" s="156"/>
      <c r="C81" s="167" t="s">
        <v>1350</v>
      </c>
      <c r="D81" t="s">
        <v>1022</v>
      </c>
      <c r="F81" s="60">
        <f>F71/AVERAGE(E205:F205)</f>
        <v>0.17060861705332916</v>
      </c>
      <c r="G81" s="60">
        <f t="shared" ref="G81:N81" si="75">G71/AVERAGE(F205:G205)</f>
        <v>0.19956132795902665</v>
      </c>
      <c r="H81" s="60">
        <f t="shared" si="75"/>
        <v>0.15482244081360436</v>
      </c>
      <c r="I81" s="60">
        <f t="shared" si="75"/>
        <v>0.18245162344960061</v>
      </c>
      <c r="J81" s="60">
        <f t="shared" si="75"/>
        <v>0.20969810645746237</v>
      </c>
      <c r="K81" s="60">
        <f t="shared" si="75"/>
        <v>0.21534796895471647</v>
      </c>
      <c r="L81" s="60">
        <f t="shared" si="75"/>
        <v>0.22253395460853029</v>
      </c>
      <c r="M81" s="60">
        <f t="shared" si="75"/>
        <v>0.22022447129238765</v>
      </c>
      <c r="N81" s="60">
        <f t="shared" si="75"/>
        <v>0.21472319699871845</v>
      </c>
      <c r="Z81" s="52"/>
    </row>
    <row r="82" spans="2:26" x14ac:dyDescent="0.3">
      <c r="B82" s="156"/>
      <c r="C82" s="167" t="s">
        <v>1314</v>
      </c>
      <c r="D82" t="s">
        <v>1022</v>
      </c>
      <c r="E82" s="161"/>
      <c r="F82" s="161">
        <f t="shared" ref="F82:N82" si="76">F71/AVERAGE(E232:F232)</f>
        <v>0.62479885982253625</v>
      </c>
      <c r="G82" s="161">
        <f t="shared" si="76"/>
        <v>0.61977959271015381</v>
      </c>
      <c r="H82" s="161">
        <f t="shared" si="76"/>
        <v>0.43788865639091062</v>
      </c>
      <c r="I82" s="161">
        <f t="shared" si="76"/>
        <v>0.50520538644336332</v>
      </c>
      <c r="J82" s="161">
        <f t="shared" si="76"/>
        <v>0.54067219276629197</v>
      </c>
      <c r="K82" s="161">
        <f t="shared" si="76"/>
        <v>0.50579958446386741</v>
      </c>
      <c r="L82" s="161">
        <f t="shared" si="76"/>
        <v>0.47686312167109035</v>
      </c>
      <c r="M82" s="161">
        <f t="shared" si="76"/>
        <v>0.43835069282838018</v>
      </c>
      <c r="N82" s="161">
        <f t="shared" si="76"/>
        <v>0.40841994651420016</v>
      </c>
      <c r="Z82" s="52"/>
    </row>
    <row r="83" spans="2:26" x14ac:dyDescent="0.3">
      <c r="B83" s="154" t="s">
        <v>1312</v>
      </c>
      <c r="Z83" s="52"/>
    </row>
    <row r="84" spans="2:26" x14ac:dyDescent="0.3">
      <c r="B84" s="156"/>
      <c r="C84" s="171" t="str">
        <f>C80</f>
        <v>Recurring NI margin</v>
      </c>
      <c r="D84" t="s">
        <v>1022</v>
      </c>
      <c r="E84" s="171"/>
      <c r="F84" s="171">
        <f t="shared" ref="F84:N84" si="77">F80</f>
        <v>0.13498212157330144</v>
      </c>
      <c r="G84" s="171">
        <f t="shared" si="77"/>
        <v>0.15824075760335093</v>
      </c>
      <c r="H84" s="171">
        <f t="shared" si="77"/>
        <v>0.12142658668540879</v>
      </c>
      <c r="I84" s="171">
        <f t="shared" si="77"/>
        <v>0.12938142089171609</v>
      </c>
      <c r="J84" s="171">
        <f t="shared" si="77"/>
        <v>0.14469093822528439</v>
      </c>
      <c r="K84" s="171">
        <f t="shared" si="77"/>
        <v>0.14471187664305704</v>
      </c>
      <c r="L84" s="171">
        <f t="shared" si="77"/>
        <v>0.14550176934206049</v>
      </c>
      <c r="M84" s="171">
        <f t="shared" si="77"/>
        <v>0.14546680535854775</v>
      </c>
      <c r="N84" s="171">
        <f t="shared" si="77"/>
        <v>0.14595967128242671</v>
      </c>
      <c r="Z84" s="52"/>
    </row>
    <row r="85" spans="2:26" x14ac:dyDescent="0.3">
      <c r="B85" s="156"/>
      <c r="C85" s="167" t="s">
        <v>1310</v>
      </c>
      <c r="D85" t="s">
        <v>649</v>
      </c>
      <c r="E85" s="160"/>
      <c r="F85" s="160">
        <f t="shared" ref="F85:N85" si="78">F17/((E205+F205)/2)</f>
        <v>1.2639349201566736</v>
      </c>
      <c r="G85" s="160">
        <f t="shared" si="78"/>
        <v>1.2611246999919614</v>
      </c>
      <c r="H85" s="160">
        <f t="shared" si="78"/>
        <v>1.2750291763921302</v>
      </c>
      <c r="I85" s="160">
        <f t="shared" si="78"/>
        <v>1.4101841067451317</v>
      </c>
      <c r="J85" s="160">
        <f t="shared" si="78"/>
        <v>1.4492829269719818</v>
      </c>
      <c r="K85" s="160">
        <f t="shared" si="78"/>
        <v>1.4881153776057288</v>
      </c>
      <c r="L85" s="160">
        <f t="shared" si="78"/>
        <v>1.529424388547294</v>
      </c>
      <c r="M85" s="160">
        <f t="shared" si="78"/>
        <v>1.5139156369700744</v>
      </c>
      <c r="N85" s="160">
        <f t="shared" si="78"/>
        <v>1.4711131856637085</v>
      </c>
      <c r="Z85" s="52"/>
    </row>
    <row r="86" spans="2:26" x14ac:dyDescent="0.3">
      <c r="B86" s="156"/>
      <c r="C86" s="167" t="s">
        <v>1311</v>
      </c>
      <c r="D86" t="s">
        <v>649</v>
      </c>
      <c r="E86" s="80"/>
      <c r="F86" s="80">
        <f>AVERAGE(E205:F205)/AVERAGE(E232:F232)</f>
        <v>3.6621764516573951</v>
      </c>
      <c r="G86" s="80">
        <f t="shared" ref="G86:N86" si="79">AVERAGE(F205:G205)/AVERAGE(F232:G232)</f>
        <v>3.1057099040621998</v>
      </c>
      <c r="H86" s="80">
        <f t="shared" si="79"/>
        <v>2.8283280775691853</v>
      </c>
      <c r="I86" s="80">
        <f t="shared" si="79"/>
        <v>2.7689826864320466</v>
      </c>
      <c r="J86" s="80">
        <f t="shared" si="79"/>
        <v>2.5783360751326967</v>
      </c>
      <c r="K86" s="80">
        <f t="shared" si="79"/>
        <v>2.348754840451861</v>
      </c>
      <c r="L86" s="80">
        <f t="shared" si="79"/>
        <v>2.142878027355251</v>
      </c>
      <c r="M86" s="80">
        <f t="shared" si="79"/>
        <v>1.9904722225278531</v>
      </c>
      <c r="N86" s="80">
        <f t="shared" si="79"/>
        <v>1.9020764976624194</v>
      </c>
      <c r="Z86" s="52"/>
    </row>
    <row r="87" spans="2:26" x14ac:dyDescent="0.3">
      <c r="B87" s="156"/>
      <c r="C87" s="170" t="s">
        <v>1314</v>
      </c>
      <c r="D87" t="s">
        <v>1022</v>
      </c>
      <c r="E87" s="161"/>
      <c r="F87" s="161">
        <f>F84*F85*F86</f>
        <v>0.62479885982253636</v>
      </c>
      <c r="G87" s="161">
        <f t="shared" ref="G87:N87" si="80">G84*G85*G86</f>
        <v>0.61977959271015381</v>
      </c>
      <c r="H87" s="161">
        <f t="shared" si="80"/>
        <v>0.43788865639091068</v>
      </c>
      <c r="I87" s="161">
        <f t="shared" si="80"/>
        <v>0.50520538644336321</v>
      </c>
      <c r="J87" s="161">
        <f t="shared" si="80"/>
        <v>0.54067219276629197</v>
      </c>
      <c r="K87" s="161">
        <f t="shared" si="80"/>
        <v>0.50579958446386741</v>
      </c>
      <c r="L87" s="161">
        <f t="shared" si="80"/>
        <v>0.47686312167109035</v>
      </c>
      <c r="M87" s="161">
        <f t="shared" si="80"/>
        <v>0.43835069282838018</v>
      </c>
      <c r="N87" s="161">
        <f t="shared" si="80"/>
        <v>0.40841994651420016</v>
      </c>
      <c r="Z87" s="52"/>
    </row>
    <row r="88" spans="2:26" x14ac:dyDescent="0.3">
      <c r="B88" s="156"/>
      <c r="C88" s="2"/>
      <c r="Z88" s="52"/>
    </row>
    <row r="89" spans="2:26" x14ac:dyDescent="0.3">
      <c r="B89" s="158"/>
      <c r="C89" s="149" t="s">
        <v>1367</v>
      </c>
      <c r="D89" s="135"/>
      <c r="E89" s="188">
        <f>E18/E17</f>
        <v>0.56752199571975193</v>
      </c>
      <c r="F89" s="188">
        <f t="shared" ref="F89:N89" si="81">F18/F17</f>
        <v>0.56172030194676204</v>
      </c>
      <c r="G89" s="188">
        <f t="shared" si="81"/>
        <v>0.55263157894736847</v>
      </c>
      <c r="H89" s="188">
        <f t="shared" si="81"/>
        <v>0.56496297870253842</v>
      </c>
      <c r="I89" s="188">
        <f t="shared" si="81"/>
        <v>0.55750365873096375</v>
      </c>
      <c r="J89" s="188">
        <f t="shared" si="81"/>
        <v>0.56086810280947685</v>
      </c>
      <c r="K89" s="188">
        <f t="shared" si="81"/>
        <v>0.56086810280947685</v>
      </c>
      <c r="L89" s="188">
        <f t="shared" si="81"/>
        <v>0.56086810280947685</v>
      </c>
      <c r="M89" s="188">
        <f t="shared" si="81"/>
        <v>0.56086810280947685</v>
      </c>
      <c r="N89" s="188">
        <f t="shared" si="81"/>
        <v>0.56086810280947685</v>
      </c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55"/>
    </row>
    <row r="90" spans="2:26" x14ac:dyDescent="0.3">
      <c r="C90" s="2"/>
    </row>
    <row r="91" spans="2:26" ht="33.6" x14ac:dyDescent="0.65">
      <c r="C91" s="213" t="str">
        <f>'HISTORICAL FS'!C46</f>
        <v>CASH-FLOW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</row>
    <row r="93" spans="2:26" x14ac:dyDescent="0.3">
      <c r="C93" s="2" t="str">
        <f>'rough sheet'!C872</f>
        <v>Operating profit</v>
      </c>
      <c r="E93">
        <f>'rough sheet'!E872</f>
        <v>905.39999999999941</v>
      </c>
      <c r="F93">
        <f>'rough sheet'!F872</f>
        <v>941.49999999999932</v>
      </c>
      <c r="G93">
        <f>'rough sheet'!G872</f>
        <v>987.9</v>
      </c>
      <c r="H93">
        <f>'rough sheet'!H872</f>
        <v>1075.3999999999994</v>
      </c>
      <c r="I93">
        <f>'rough sheet'!I872</f>
        <v>1278.8000000000002</v>
      </c>
      <c r="J93" s="99">
        <f>J28</f>
        <v>1380.5704811357339</v>
      </c>
      <c r="K93" s="99">
        <f>K28</f>
        <v>1509.3565471964775</v>
      </c>
      <c r="L93" s="99">
        <f>L28</f>
        <v>1675.3355323827304</v>
      </c>
      <c r="M93" s="99">
        <f>M28</f>
        <v>1827.4274484370094</v>
      </c>
      <c r="N93" s="99">
        <f>N28</f>
        <v>1979.313393904391</v>
      </c>
    </row>
    <row r="94" spans="2:26" x14ac:dyDescent="0.3">
      <c r="C94" t="str">
        <f>'rough sheet'!C873</f>
        <v>Profit on disposal of associate</v>
      </c>
      <c r="E94">
        <f>'rough sheet'!E873</f>
        <v>0</v>
      </c>
      <c r="F94">
        <f>'rough sheet'!F873</f>
        <v>0</v>
      </c>
      <c r="G94">
        <f>'rough sheet'!G873</f>
        <v>0</v>
      </c>
      <c r="H94">
        <f>'rough sheet'!H873</f>
        <v>0</v>
      </c>
      <c r="I94">
        <f>'rough sheet'!I873</f>
        <v>-16.3</v>
      </c>
      <c r="J94" s="99">
        <v>0</v>
      </c>
      <c r="K94" s="99">
        <f>J94</f>
        <v>0</v>
      </c>
      <c r="L94" s="99">
        <f t="shared" ref="L94:N94" si="82">K94</f>
        <v>0</v>
      </c>
      <c r="M94" s="99">
        <f t="shared" si="82"/>
        <v>0</v>
      </c>
      <c r="N94" s="99">
        <f t="shared" si="82"/>
        <v>0</v>
      </c>
    </row>
    <row r="95" spans="2:26" x14ac:dyDescent="0.3">
      <c r="J95" s="99"/>
      <c r="K95" s="99"/>
      <c r="L95" s="99"/>
      <c r="M95" s="99"/>
      <c r="N95" s="99"/>
    </row>
    <row r="96" spans="2:26" x14ac:dyDescent="0.3">
      <c r="C96" t="str">
        <f>'rough sheet'!C875</f>
        <v>Depreciation, impairment and (profit)/loss on disposal of property, plant and equipment</v>
      </c>
      <c r="E96">
        <f>'rough sheet'!E875</f>
        <v>90.3</v>
      </c>
      <c r="F96">
        <f>'rough sheet'!F875</f>
        <v>80.599999999999994</v>
      </c>
      <c r="G96">
        <f>'rough sheet'!G875</f>
        <v>95.7</v>
      </c>
      <c r="H96">
        <f>'rough sheet'!H875</f>
        <v>117.9</v>
      </c>
      <c r="I96">
        <f>'rough sheet'!I875</f>
        <v>119.2</v>
      </c>
      <c r="J96" s="99">
        <f>J367</f>
        <v>108.68144932435868</v>
      </c>
      <c r="K96" s="99">
        <f t="shared" ref="K96:N96" si="83">K367</f>
        <v>131.18842613910178</v>
      </c>
      <c r="L96" s="99">
        <f t="shared" si="83"/>
        <v>150.03194502343297</v>
      </c>
      <c r="M96" s="99">
        <f t="shared" si="83"/>
        <v>165.80830658753047</v>
      </c>
      <c r="N96" s="99">
        <f t="shared" si="83"/>
        <v>179.0167516624094</v>
      </c>
    </row>
    <row r="97" spans="3:14" x14ac:dyDescent="0.3">
      <c r="C97" t="str">
        <f>'rough sheet'!C876</f>
        <v>Depreciation and impairment on right-of-use assets</v>
      </c>
      <c r="E97">
        <f>'rough sheet'!E876</f>
        <v>112.6</v>
      </c>
      <c r="F97">
        <f>'rough sheet'!F876</f>
        <v>72.7</v>
      </c>
      <c r="G97">
        <f>'rough sheet'!G876</f>
        <v>111.8</v>
      </c>
      <c r="H97">
        <f>'rough sheet'!H876</f>
        <v>137.9</v>
      </c>
      <c r="I97">
        <f>'rough sheet'!I876</f>
        <v>156.4</v>
      </c>
      <c r="J97" s="99">
        <f>J376</f>
        <v>137.72409750867121</v>
      </c>
      <c r="K97" s="99">
        <f t="shared" ref="K97:N97" si="84">K376</f>
        <v>133.98685676244597</v>
      </c>
      <c r="L97" s="99">
        <f t="shared" si="84"/>
        <v>132.60300908572347</v>
      </c>
      <c r="M97" s="99">
        <f t="shared" si="84"/>
        <v>133.6088521240867</v>
      </c>
      <c r="N97" s="99">
        <f t="shared" si="84"/>
        <v>136.3736856471705</v>
      </c>
    </row>
    <row r="98" spans="3:14" x14ac:dyDescent="0.3">
      <c r="C98" t="str">
        <f>'rough sheet'!C877</f>
        <v>Amortisation and impairment of intangible assets</v>
      </c>
      <c r="E98">
        <f>'rough sheet'!E877</f>
        <v>4.3</v>
      </c>
      <c r="F98">
        <f>'rough sheet'!F877</f>
        <v>12.5</v>
      </c>
      <c r="G98">
        <f>'rough sheet'!G877</f>
        <v>38.5</v>
      </c>
      <c r="H98">
        <f>'rough sheet'!H877</f>
        <v>55.2</v>
      </c>
      <c r="I98">
        <f>'rough sheet'!I877</f>
        <v>59.1</v>
      </c>
      <c r="J98" s="99">
        <f>J383</f>
        <v>61.206332975551575</v>
      </c>
      <c r="K98" s="99">
        <f t="shared" ref="K98:N98" si="85">K383</f>
        <v>60.506314369686464</v>
      </c>
      <c r="L98" s="99">
        <f t="shared" si="85"/>
        <v>59.866328791535608</v>
      </c>
      <c r="M98" s="99">
        <f t="shared" si="85"/>
        <v>59.281227857346998</v>
      </c>
      <c r="N98" s="99">
        <f t="shared" si="85"/>
        <v>58.746304704582315</v>
      </c>
    </row>
    <row r="99" spans="3:14" x14ac:dyDescent="0.3">
      <c r="C99" t="str">
        <f>'rough sheet'!C878</f>
        <v>Amortisation, impairemnt &amp; disposals of investments</v>
      </c>
      <c r="E99">
        <f>'rough sheet'!E878</f>
        <v>0</v>
      </c>
      <c r="F99">
        <f>'rough sheet'!F878</f>
        <v>1.1000000000000001</v>
      </c>
      <c r="G99">
        <f>'rough sheet'!G878</f>
        <v>0.8</v>
      </c>
      <c r="H99">
        <f>'rough sheet'!H878</f>
        <v>13.5</v>
      </c>
      <c r="I99">
        <f>'rough sheet'!I878</f>
        <v>5.6</v>
      </c>
      <c r="J99" s="99">
        <v>0</v>
      </c>
      <c r="K99" s="99">
        <f>J99</f>
        <v>0</v>
      </c>
      <c r="L99" s="99">
        <f t="shared" ref="L99:N99" si="86">K99</f>
        <v>0</v>
      </c>
      <c r="M99" s="99">
        <f t="shared" si="86"/>
        <v>0</v>
      </c>
      <c r="N99" s="99">
        <f t="shared" si="86"/>
        <v>0</v>
      </c>
    </row>
    <row r="100" spans="3:14" x14ac:dyDescent="0.3">
      <c r="C100" t="str">
        <f>'rough sheet'!C879</f>
        <v>Share option charge</v>
      </c>
      <c r="E100">
        <f>'rough sheet'!E879</f>
        <v>19.899999999999999</v>
      </c>
      <c r="F100">
        <f>'rough sheet'!F879</f>
        <v>24.3</v>
      </c>
      <c r="G100">
        <f>'rough sheet'!G879</f>
        <v>31.9</v>
      </c>
      <c r="H100">
        <f>'rough sheet'!H879</f>
        <v>40.9</v>
      </c>
      <c r="I100">
        <f>'rough sheet'!I879</f>
        <v>43.1</v>
      </c>
      <c r="J100" s="99">
        <f>I100*(1+ASSUMPTIONS!$J$68)</f>
        <v>45.418337408312965</v>
      </c>
      <c r="K100" s="99">
        <f>J100*(1+ASSUMPTIONS!$J$68)</f>
        <v>47.861377562305357</v>
      </c>
      <c r="L100" s="99">
        <f>K100*(1+ASSUMPTIONS!$J$68)</f>
        <v>50.435828189128635</v>
      </c>
      <c r="M100" s="99">
        <f>L100*(1+ASSUMPTIONS!$J$68)</f>
        <v>53.148757822773703</v>
      </c>
      <c r="N100" s="99">
        <f>M100*(1+ASSUMPTIONS!$J$68)</f>
        <v>56.007615211773761</v>
      </c>
    </row>
    <row r="101" spans="3:14" x14ac:dyDescent="0.3">
      <c r="J101" s="99"/>
      <c r="K101" s="99"/>
      <c r="L101" s="99"/>
      <c r="M101" s="99"/>
      <c r="N101" s="99"/>
    </row>
    <row r="102" spans="3:14" x14ac:dyDescent="0.3">
      <c r="C102" t="str">
        <f>'rough sheet'!C880</f>
        <v>Share of profit of associates and joint ventures</v>
      </c>
      <c r="E102">
        <f>'rough sheet'!E880</f>
        <v>-4.8</v>
      </c>
      <c r="F102">
        <f>'rough sheet'!F880</f>
        <v>-14.3</v>
      </c>
      <c r="G102">
        <f>'rough sheet'!G880</f>
        <v>-6.9</v>
      </c>
      <c r="H102">
        <f>'rough sheet'!H880</f>
        <v>-6.7</v>
      </c>
      <c r="I102">
        <f>'rough sheet'!I880</f>
        <v>-7.9</v>
      </c>
      <c r="J102" s="99">
        <f>-J25</f>
        <v>-5.7997423256263101</v>
      </c>
      <c r="K102" s="99">
        <f>-K25</f>
        <v>-6.7553392302757791</v>
      </c>
      <c r="L102" s="99">
        <f>-L25</f>
        <v>-7.8683854478267534</v>
      </c>
      <c r="M102" s="99">
        <f>-M25</f>
        <v>-9.1648231783978602</v>
      </c>
      <c r="N102" s="99">
        <f>-N25</f>
        <v>-10.674868999268174</v>
      </c>
    </row>
    <row r="103" spans="3:14" x14ac:dyDescent="0.3">
      <c r="C103" t="str">
        <f>'rough sheet'!C881</f>
        <v>Exchange movement</v>
      </c>
      <c r="E103">
        <f>'rough sheet'!E881</f>
        <v>-1.6</v>
      </c>
      <c r="F103">
        <f>'rough sheet'!F881</f>
        <v>-0.8</v>
      </c>
      <c r="G103">
        <f>'rough sheet'!G881</f>
        <v>-15.5</v>
      </c>
      <c r="H103">
        <f>'rough sheet'!H881</f>
        <v>-5.6</v>
      </c>
      <c r="I103">
        <f>'rough sheet'!I881</f>
        <v>5.5</v>
      </c>
      <c r="J103" s="99">
        <v>0</v>
      </c>
      <c r="K103" s="99">
        <f>J103</f>
        <v>0</v>
      </c>
      <c r="L103" s="99">
        <f t="shared" ref="L103:N104" si="87">K103</f>
        <v>0</v>
      </c>
      <c r="M103" s="99">
        <f t="shared" si="87"/>
        <v>0</v>
      </c>
      <c r="N103" s="99">
        <f t="shared" si="87"/>
        <v>0</v>
      </c>
    </row>
    <row r="104" spans="3:14" x14ac:dyDescent="0.3">
      <c r="C104" t="str">
        <f>'rough sheet'!C882</f>
        <v>Net pension contributions less income statement charge</v>
      </c>
      <c r="E104">
        <f>'rough sheet'!E882</f>
        <v>-2.7</v>
      </c>
      <c r="F104">
        <f>'rough sheet'!F882</f>
        <v>0</v>
      </c>
      <c r="G104">
        <f>'rough sheet'!G882</f>
        <v>0</v>
      </c>
      <c r="H104">
        <f>'rough sheet'!H882</f>
        <v>0</v>
      </c>
      <c r="I104">
        <f>'rough sheet'!I882</f>
        <v>0</v>
      </c>
      <c r="J104" s="99">
        <f>I104</f>
        <v>0</v>
      </c>
      <c r="K104" s="99">
        <f t="shared" ref="K104" si="88">J104</f>
        <v>0</v>
      </c>
      <c r="L104" s="99">
        <f t="shared" si="87"/>
        <v>0</v>
      </c>
      <c r="M104" s="99">
        <f t="shared" si="87"/>
        <v>0</v>
      </c>
      <c r="N104" s="99">
        <f t="shared" si="87"/>
        <v>0</v>
      </c>
    </row>
    <row r="105" spans="3:14" x14ac:dyDescent="0.3">
      <c r="C105" t="s">
        <v>1295</v>
      </c>
      <c r="J105" s="99">
        <f>J736+J737+J739</f>
        <v>5.1067974350904137</v>
      </c>
      <c r="K105" s="99">
        <f>K736+K737+K739</f>
        <v>5.2034160727431384</v>
      </c>
      <c r="L105" s="99">
        <f>L736+L737+L739</f>
        <v>5.3018626977520329</v>
      </c>
      <c r="M105" s="99">
        <f>M736+M737+M739</f>
        <v>5.4021718949327759</v>
      </c>
      <c r="N105" s="99">
        <f>N736+N737+N739</f>
        <v>5.5043789034324195</v>
      </c>
    </row>
    <row r="106" spans="3:14" x14ac:dyDescent="0.3">
      <c r="C106" t="str">
        <f>'rough sheet'!C884</f>
        <v>Increase in inventories and right of return asset</v>
      </c>
      <c r="E106">
        <f>'rough sheet'!E884</f>
        <v>-96.5</v>
      </c>
      <c r="F106">
        <f>'rough sheet'!F884</f>
        <v>-22.8</v>
      </c>
      <c r="G106">
        <f>'rough sheet'!G884</f>
        <v>15.3</v>
      </c>
      <c r="H106">
        <f>'rough sheet'!H884</f>
        <v>-100.3</v>
      </c>
      <c r="I106">
        <f>'rough sheet'!I884</f>
        <v>-79.2</v>
      </c>
      <c r="J106" s="99">
        <f>(I261+I263)-(J261+J263)</f>
        <v>-178.11217160079559</v>
      </c>
      <c r="K106" s="99">
        <f>(J261+J263)-(K261+K263)</f>
        <v>-59.363435214993615</v>
      </c>
      <c r="L106" s="99">
        <f>(K261+K263)-(L261+L263)</f>
        <v>-56.504238575925683</v>
      </c>
      <c r="M106" s="99">
        <f>(L261+L263)-(M261+M263)</f>
        <v>-155.30845297564451</v>
      </c>
      <c r="N106" s="99">
        <f>(M261+M263)-(N261+N263)</f>
        <v>-96.703765212929966</v>
      </c>
    </row>
    <row r="107" spans="3:14" x14ac:dyDescent="0.3">
      <c r="C107" t="str">
        <f>'rough sheet'!C885</f>
        <v>(Increase)/decrease in customer and other receivables</v>
      </c>
      <c r="E107">
        <f>'rough sheet'!E885</f>
        <v>-165.4</v>
      </c>
      <c r="F107">
        <f>'rough sheet'!F885</f>
        <v>-156.5</v>
      </c>
      <c r="G107">
        <f>'rough sheet'!G885</f>
        <v>3.7</v>
      </c>
      <c r="H107">
        <f>'rough sheet'!H885</f>
        <v>-52.3</v>
      </c>
      <c r="I107">
        <f>'rough sheet'!I885</f>
        <v>-153.69999999999999</v>
      </c>
      <c r="J107" s="99">
        <f>I262-J262</f>
        <v>96.868871959990884</v>
      </c>
      <c r="K107" s="99">
        <f>J262-K262</f>
        <v>-165.5956279660893</v>
      </c>
      <c r="L107" s="99">
        <f>K262-L262</f>
        <v>-224.71711608927239</v>
      </c>
      <c r="M107" s="99">
        <f>L262-M262</f>
        <v>-212.83533363799143</v>
      </c>
      <c r="N107" s="99">
        <f>M262-N262</f>
        <v>-174.53644473720624</v>
      </c>
    </row>
    <row r="108" spans="3:14" x14ac:dyDescent="0.3">
      <c r="C108" t="str">
        <f>'rough sheet'!C886</f>
        <v>Increase/(decrease) in trade and other payables</v>
      </c>
      <c r="E108">
        <f>'rough sheet'!E886</f>
        <v>235.2</v>
      </c>
      <c r="F108">
        <f>'rough sheet'!F886</f>
        <v>12</v>
      </c>
      <c r="G108">
        <f>'rough sheet'!G886</f>
        <v>47.6</v>
      </c>
      <c r="H108">
        <f>'rough sheet'!H886</f>
        <v>93.2</v>
      </c>
      <c r="I108">
        <f>'rough sheet'!I886</f>
        <v>45.9</v>
      </c>
      <c r="J108" s="99">
        <f>-(I267-J267)</f>
        <v>124.14810982300673</v>
      </c>
      <c r="K108" s="99">
        <f t="shared" ref="K108:N108" si="89">-(J267-K267)</f>
        <v>125.48647445735264</v>
      </c>
      <c r="L108" s="99">
        <f t="shared" si="89"/>
        <v>130.57495161103452</v>
      </c>
      <c r="M108" s="99">
        <f t="shared" si="89"/>
        <v>174.67431181282609</v>
      </c>
      <c r="N108" s="99">
        <f t="shared" si="89"/>
        <v>6.7796191399345389</v>
      </c>
    </row>
    <row r="109" spans="3:14" x14ac:dyDescent="0.3">
      <c r="C109" t="s">
        <v>1303</v>
      </c>
      <c r="J109" s="99"/>
      <c r="K109" s="99"/>
      <c r="L109" s="99"/>
      <c r="M109" s="99"/>
      <c r="N109" s="99"/>
    </row>
    <row r="110" spans="3:14" x14ac:dyDescent="0.3">
      <c r="C110" t="str">
        <f>'rough sheet'!C887</f>
        <v>Cash flow from Operations</v>
      </c>
      <c r="E110" s="128">
        <f t="shared" ref="E110:J110" si="90">SUM(E93:E108)</f>
        <v>1096.6999999999994</v>
      </c>
      <c r="F110" s="128">
        <f t="shared" si="90"/>
        <v>950.29999999999927</v>
      </c>
      <c r="G110" s="128">
        <f t="shared" si="90"/>
        <v>1310.7999999999997</v>
      </c>
      <c r="H110" s="128">
        <f t="shared" si="90"/>
        <v>1369.1</v>
      </c>
      <c r="I110" s="128">
        <f t="shared" si="90"/>
        <v>1456.5</v>
      </c>
      <c r="J110" s="128">
        <f t="shared" si="90"/>
        <v>1775.8125636442944</v>
      </c>
      <c r="K110" s="128">
        <f t="shared" ref="K110" si="91">SUM(K93:K108)</f>
        <v>1781.875010148754</v>
      </c>
      <c r="L110" s="128">
        <f t="shared" ref="L110" si="92">SUM(L93:L108)</f>
        <v>1915.0597176683125</v>
      </c>
      <c r="M110" s="128">
        <f t="shared" ref="M110" si="93">SUM(M93:M108)</f>
        <v>2042.0424667444722</v>
      </c>
      <c r="N110" s="128">
        <f t="shared" ref="N110" si="94">SUM(N93:N108)</f>
        <v>2139.826670224289</v>
      </c>
    </row>
    <row r="111" spans="3:14" x14ac:dyDescent="0.3">
      <c r="C111" t="str">
        <f>'rough sheet'!C888</f>
        <v>corporation tax paid</v>
      </c>
      <c r="E111">
        <f>'rough sheet'!E888</f>
        <v>-125.3</v>
      </c>
      <c r="F111">
        <f>'rough sheet'!F888</f>
        <v>-151.5</v>
      </c>
      <c r="G111">
        <f>'rough sheet'!G888</f>
        <v>-193.3</v>
      </c>
      <c r="H111">
        <f>'rough sheet'!H888</f>
        <v>-242.6</v>
      </c>
      <c r="I111">
        <f>'rough sheet'!I888</f>
        <v>-233.1</v>
      </c>
      <c r="J111" s="99">
        <f>-J430</f>
        <v>-265</v>
      </c>
      <c r="K111" s="99">
        <f>-K430</f>
        <v>-365.09503578708484</v>
      </c>
      <c r="L111" s="99">
        <f t="shared" ref="L111:N111" si="95">-L430</f>
        <v>-407.36487494429952</v>
      </c>
      <c r="M111" s="99">
        <f t="shared" si="95"/>
        <v>-444.09770798471897</v>
      </c>
      <c r="N111" s="99">
        <f t="shared" si="95"/>
        <v>-482.45507037500164</v>
      </c>
    </row>
    <row r="112" spans="3:14" x14ac:dyDescent="0.3">
      <c r="J112" s="99"/>
      <c r="K112" s="99"/>
      <c r="L112" s="99"/>
      <c r="M112" s="99"/>
      <c r="N112" s="99"/>
    </row>
    <row r="113" spans="3:14" x14ac:dyDescent="0.3">
      <c r="C113" s="2" t="str">
        <f>'rough sheet'!C889</f>
        <v>Net cash from Operating activities</v>
      </c>
      <c r="E113" s="111">
        <f>E110+E111</f>
        <v>971.39999999999941</v>
      </c>
      <c r="F113" s="111">
        <f t="shared" ref="F113:N113" si="96">F110+F111</f>
        <v>798.79999999999927</v>
      </c>
      <c r="G113" s="111">
        <f t="shared" si="96"/>
        <v>1117.4999999999998</v>
      </c>
      <c r="H113" s="111">
        <f t="shared" si="96"/>
        <v>1126.5</v>
      </c>
      <c r="I113" s="111">
        <f t="shared" si="96"/>
        <v>1223.4000000000001</v>
      </c>
      <c r="J113" s="111">
        <f t="shared" si="96"/>
        <v>1510.8125636442944</v>
      </c>
      <c r="K113" s="111">
        <f t="shared" si="96"/>
        <v>1416.7799743616692</v>
      </c>
      <c r="L113" s="111">
        <f t="shared" si="96"/>
        <v>1507.6948427240129</v>
      </c>
      <c r="M113" s="111">
        <f t="shared" si="96"/>
        <v>1597.9447587597533</v>
      </c>
      <c r="N113" s="111">
        <f t="shared" si="96"/>
        <v>1657.3715998492873</v>
      </c>
    </row>
    <row r="115" spans="3:14" x14ac:dyDescent="0.3">
      <c r="C115" s="2" t="str">
        <f>'rough sheet'!C891</f>
        <v>Cashflow from Investing activities</v>
      </c>
      <c r="J115" s="120"/>
    </row>
    <row r="117" spans="3:14" x14ac:dyDescent="0.3">
      <c r="C117" t="str">
        <f>'rough sheet'!C893</f>
        <v>Additions to PPE</v>
      </c>
      <c r="E117">
        <f>'rough sheet'!E893</f>
        <v>-239.2</v>
      </c>
      <c r="F117">
        <f>'rough sheet'!F893</f>
        <v>-207.1</v>
      </c>
      <c r="G117">
        <f>'rough sheet'!G893</f>
        <v>-160.9</v>
      </c>
      <c r="H117">
        <f>'rough sheet'!H893</f>
        <v>-122.9</v>
      </c>
      <c r="I117">
        <f>'rough sheet'!I893</f>
        <v>-139.6</v>
      </c>
      <c r="J117" s="99">
        <f>-J366</f>
        <v>-246.95627462921192</v>
      </c>
      <c r="K117" s="99">
        <f t="shared" ref="K117:N117" si="97">-K366</f>
        <v>-246.95627462921192</v>
      </c>
      <c r="L117" s="99">
        <f t="shared" si="97"/>
        <v>-246.95627462921192</v>
      </c>
      <c r="M117" s="99">
        <f t="shared" si="97"/>
        <v>-246.95627462921192</v>
      </c>
      <c r="N117" s="99">
        <f t="shared" si="97"/>
        <v>-329.27503283894924</v>
      </c>
    </row>
    <row r="118" spans="3:14" x14ac:dyDescent="0.3">
      <c r="C118" t="str">
        <f>'rough sheet'!C894</f>
        <v>Movements in Capital accruals</v>
      </c>
      <c r="E118">
        <f>'rough sheet'!E894</f>
        <v>-4.4000000000000004</v>
      </c>
      <c r="F118">
        <f>'rough sheet'!F894</f>
        <v>2</v>
      </c>
      <c r="G118">
        <f>'rough sheet'!G894</f>
        <v>23.9</v>
      </c>
      <c r="H118">
        <f>'rough sheet'!H894</f>
        <v>-6.4</v>
      </c>
      <c r="I118">
        <f>'rough sheet'!I894</f>
        <v>4.2</v>
      </c>
      <c r="J118" s="99">
        <v>0</v>
      </c>
      <c r="K118" s="99">
        <f>J118</f>
        <v>0</v>
      </c>
      <c r="L118" s="99">
        <f t="shared" ref="L118:N118" si="98">K118</f>
        <v>0</v>
      </c>
      <c r="M118" s="99">
        <f t="shared" si="98"/>
        <v>0</v>
      </c>
      <c r="N118" s="99">
        <f t="shared" si="98"/>
        <v>0</v>
      </c>
    </row>
    <row r="119" spans="3:14" x14ac:dyDescent="0.3">
      <c r="C119" t="str">
        <f>'rough sheet'!C895</f>
        <v>Payments to acquire PPE</v>
      </c>
      <c r="E119" s="46">
        <f>E117+E118</f>
        <v>-243.6</v>
      </c>
      <c r="F119" s="46">
        <f t="shared" ref="F119:N119" si="99">F117+F118</f>
        <v>-205.1</v>
      </c>
      <c r="G119" s="46">
        <f t="shared" si="99"/>
        <v>-137</v>
      </c>
      <c r="H119" s="46">
        <f t="shared" si="99"/>
        <v>-129.30000000000001</v>
      </c>
      <c r="I119" s="46">
        <f t="shared" si="99"/>
        <v>-135.4</v>
      </c>
      <c r="J119" s="128">
        <f t="shared" si="99"/>
        <v>-246.95627462921192</v>
      </c>
      <c r="K119" s="128">
        <f t="shared" si="99"/>
        <v>-246.95627462921192</v>
      </c>
      <c r="L119" s="128">
        <f t="shared" si="99"/>
        <v>-246.95627462921192</v>
      </c>
      <c r="M119" s="128">
        <f t="shared" si="99"/>
        <v>-246.95627462921192</v>
      </c>
      <c r="N119" s="128">
        <f t="shared" si="99"/>
        <v>-329.27503283894924</v>
      </c>
    </row>
    <row r="120" spans="3:14" x14ac:dyDescent="0.3">
      <c r="C120" t="str">
        <f>'rough sheet'!C896</f>
        <v>purchase of intangible assets</v>
      </c>
      <c r="E120">
        <f>'rough sheet'!E896</f>
        <v>-22.7</v>
      </c>
      <c r="F120">
        <f>'rough sheet'!F896</f>
        <v>-41</v>
      </c>
      <c r="G120">
        <f>'rough sheet'!G896</f>
        <v>-51.2</v>
      </c>
      <c r="H120">
        <f>'rough sheet'!H896</f>
        <v>-28.2</v>
      </c>
      <c r="I120">
        <f>'rough sheet'!I896</f>
        <v>-35.799999999999997</v>
      </c>
      <c r="J120" s="99">
        <f>-J382</f>
        <v>-53.043725370788039</v>
      </c>
      <c r="K120" s="99">
        <f t="shared" ref="K120:N120" si="100">-K382</f>
        <v>-53.043725370788039</v>
      </c>
      <c r="L120" s="99">
        <f t="shared" si="100"/>
        <v>-53.043725370788039</v>
      </c>
      <c r="M120" s="99">
        <f t="shared" si="100"/>
        <v>-53.043725370788039</v>
      </c>
      <c r="N120" s="99">
        <f t="shared" si="100"/>
        <v>-70.724967161050728</v>
      </c>
    </row>
    <row r="121" spans="3:14" x14ac:dyDescent="0.3">
      <c r="C121" t="str">
        <f>'rough sheet'!C897</f>
        <v>Total Capital expenditure</v>
      </c>
      <c r="E121" s="46">
        <f>E119+E120</f>
        <v>-266.3</v>
      </c>
      <c r="F121" s="46">
        <f t="shared" ref="F121:I121" si="101">F119+F120</f>
        <v>-246.1</v>
      </c>
      <c r="G121" s="46">
        <f t="shared" si="101"/>
        <v>-188.2</v>
      </c>
      <c r="H121" s="46">
        <f t="shared" si="101"/>
        <v>-157.5</v>
      </c>
      <c r="I121" s="46">
        <f t="shared" si="101"/>
        <v>-171.2</v>
      </c>
      <c r="J121" s="128">
        <f t="shared" ref="J121" si="102">J119+J120</f>
        <v>-299.99999999999994</v>
      </c>
      <c r="K121" s="128">
        <f t="shared" ref="K121" si="103">K119+K120</f>
        <v>-299.99999999999994</v>
      </c>
      <c r="L121" s="128">
        <f t="shared" ref="L121" si="104">L119+L120</f>
        <v>-299.99999999999994</v>
      </c>
      <c r="M121" s="128">
        <f t="shared" ref="M121" si="105">M119+M120</f>
        <v>-299.99999999999994</v>
      </c>
      <c r="N121" s="128">
        <f t="shared" ref="N121" si="106">N119+N120</f>
        <v>-400</v>
      </c>
    </row>
    <row r="123" spans="3:14" x14ac:dyDescent="0.3">
      <c r="C123" t="str">
        <f>'rough sheet'!C899</f>
        <v>Proceeds from sale of held for sale assets</v>
      </c>
      <c r="E123">
        <f>'rough sheet'!E899</f>
        <v>15.5</v>
      </c>
      <c r="F123">
        <f>'rough sheet'!F899</f>
        <v>41.7</v>
      </c>
      <c r="G123">
        <f>'rough sheet'!G899</f>
        <v>3.3</v>
      </c>
      <c r="H123">
        <f>'rough sheet'!H899</f>
        <v>0</v>
      </c>
      <c r="I123">
        <f>'rough sheet'!I899</f>
        <v>55.7</v>
      </c>
      <c r="J123">
        <v>0</v>
      </c>
      <c r="K123">
        <f>J123</f>
        <v>0</v>
      </c>
      <c r="L123">
        <f t="shared" ref="L123:N123" si="107">K123</f>
        <v>0</v>
      </c>
      <c r="M123">
        <f t="shared" si="107"/>
        <v>0</v>
      </c>
      <c r="N123">
        <f t="shared" si="107"/>
        <v>0</v>
      </c>
    </row>
    <row r="124" spans="3:14" x14ac:dyDescent="0.3">
      <c r="C124" t="str">
        <f>'rough sheet'!C900</f>
        <v>Proceeds from sale of PPE</v>
      </c>
      <c r="E124">
        <f>'rough sheet'!E900</f>
        <v>3.4</v>
      </c>
      <c r="F124">
        <f>'rough sheet'!F900</f>
        <v>0</v>
      </c>
      <c r="G124">
        <f>'rough sheet'!G900</f>
        <v>2</v>
      </c>
      <c r="H124">
        <f>'rough sheet'!H900</f>
        <v>2.6</v>
      </c>
      <c r="I124">
        <f>'rough sheet'!I900</f>
        <v>0.4</v>
      </c>
      <c r="J124">
        <v>0</v>
      </c>
      <c r="K124">
        <f>J124</f>
        <v>0</v>
      </c>
      <c r="L124">
        <f t="shared" ref="L124:N124" si="108">K124</f>
        <v>0</v>
      </c>
      <c r="M124">
        <f t="shared" si="108"/>
        <v>0</v>
      </c>
      <c r="N124">
        <f t="shared" si="108"/>
        <v>0</v>
      </c>
    </row>
    <row r="127" spans="3:14" x14ac:dyDescent="0.3">
      <c r="C127" t="str">
        <f>'rough sheet'!C903</f>
        <v>Amounts loaned/repaid  to Joint ventures and associates</v>
      </c>
      <c r="E127">
        <f>'rough sheet'!E903</f>
        <v>-10.8</v>
      </c>
      <c r="F127">
        <f>'rough sheet'!F903</f>
        <v>11.3</v>
      </c>
      <c r="G127">
        <f>'rough sheet'!G903</f>
        <v>0</v>
      </c>
      <c r="H127">
        <f>'rough sheet'!H903</f>
        <v>-0.9</v>
      </c>
      <c r="I127">
        <f>'rough sheet'!I903</f>
        <v>-4.8</v>
      </c>
      <c r="J127">
        <v>0</v>
      </c>
      <c r="K127">
        <f>J127</f>
        <v>0</v>
      </c>
      <c r="L127">
        <f t="shared" ref="L127:N127" si="109">K127</f>
        <v>0</v>
      </c>
      <c r="M127">
        <f t="shared" si="109"/>
        <v>0</v>
      </c>
      <c r="N127">
        <f t="shared" si="109"/>
        <v>0</v>
      </c>
    </row>
    <row r="128" spans="3:14" x14ac:dyDescent="0.3">
      <c r="C128" t="str">
        <f>'rough sheet'!C904</f>
        <v>Disposal of other investment</v>
      </c>
      <c r="E128">
        <f>'rough sheet'!E904</f>
        <v>0</v>
      </c>
      <c r="F128">
        <f>'rough sheet'!F904</f>
        <v>1.8</v>
      </c>
      <c r="G128">
        <f>'rough sheet'!G904</f>
        <v>0</v>
      </c>
      <c r="H128">
        <f>'rough sheet'!H904</f>
        <v>0</v>
      </c>
      <c r="I128">
        <f>'rough sheet'!I904</f>
        <v>0</v>
      </c>
      <c r="J128">
        <f t="shared" ref="J128:N131" si="110">I128</f>
        <v>0</v>
      </c>
      <c r="K128">
        <f t="shared" si="110"/>
        <v>0</v>
      </c>
      <c r="L128">
        <f t="shared" si="110"/>
        <v>0</v>
      </c>
      <c r="M128">
        <f t="shared" si="110"/>
        <v>0</v>
      </c>
      <c r="N128">
        <f t="shared" si="110"/>
        <v>0</v>
      </c>
    </row>
    <row r="129" spans="3:14" x14ac:dyDescent="0.3">
      <c r="C129" t="str">
        <f>'rough sheet'!C905</f>
        <v>Disposal of minority interest</v>
      </c>
      <c r="E129">
        <f>'rough sheet'!E905</f>
        <v>0</v>
      </c>
      <c r="F129">
        <f>'rough sheet'!F905</f>
        <v>0</v>
      </c>
      <c r="G129">
        <f>'rough sheet'!G905</f>
        <v>0</v>
      </c>
      <c r="H129">
        <f>'rough sheet'!H905</f>
        <v>0</v>
      </c>
      <c r="I129">
        <f>'rough sheet'!I905</f>
        <v>0</v>
      </c>
      <c r="J129">
        <f t="shared" si="110"/>
        <v>0</v>
      </c>
      <c r="K129">
        <f t="shared" si="110"/>
        <v>0</v>
      </c>
      <c r="L129">
        <f t="shared" si="110"/>
        <v>0</v>
      </c>
      <c r="M129">
        <f t="shared" si="110"/>
        <v>0</v>
      </c>
      <c r="N129">
        <f t="shared" si="110"/>
        <v>0</v>
      </c>
    </row>
    <row r="130" spans="3:14" x14ac:dyDescent="0.3">
      <c r="C130" t="str">
        <f>'rough sheet'!C906</f>
        <v>Investment in subsidiaries</v>
      </c>
      <c r="E130">
        <f>'rough sheet'!E906</f>
        <v>0</v>
      </c>
      <c r="F130">
        <f>'rough sheet'!F906</f>
        <v>-28.8</v>
      </c>
      <c r="G130">
        <f>'rough sheet'!G906</f>
        <v>-153.19999999999999</v>
      </c>
      <c r="H130">
        <f>'rough sheet'!H906</f>
        <v>-24.2</v>
      </c>
      <c r="I130">
        <f>'rough sheet'!I906</f>
        <v>0</v>
      </c>
      <c r="J130">
        <f t="shared" si="110"/>
        <v>0</v>
      </c>
      <c r="K130">
        <f t="shared" si="110"/>
        <v>0</v>
      </c>
      <c r="L130">
        <f t="shared" si="110"/>
        <v>0</v>
      </c>
      <c r="M130">
        <f t="shared" si="110"/>
        <v>0</v>
      </c>
      <c r="N130">
        <f t="shared" si="110"/>
        <v>0</v>
      </c>
    </row>
    <row r="131" spans="3:14" x14ac:dyDescent="0.3">
      <c r="C131" t="str">
        <f>'rough sheet'!C907</f>
        <v>Investment in associates and joint ventures</v>
      </c>
      <c r="E131">
        <f>'rough sheet'!E907</f>
        <v>-34.299999999999997</v>
      </c>
      <c r="F131">
        <f>'rough sheet'!F907</f>
        <v>-64.7</v>
      </c>
      <c r="G131">
        <f>'rough sheet'!G907</f>
        <v>-0.9</v>
      </c>
      <c r="H131">
        <f>'rough sheet'!H907</f>
        <v>-1.2</v>
      </c>
      <c r="I131">
        <f>'rough sheet'!I907</f>
        <v>0</v>
      </c>
      <c r="J131">
        <f t="shared" si="110"/>
        <v>0</v>
      </c>
      <c r="K131">
        <f t="shared" si="110"/>
        <v>0</v>
      </c>
      <c r="L131">
        <f t="shared" si="110"/>
        <v>0</v>
      </c>
      <c r="M131">
        <f t="shared" si="110"/>
        <v>0</v>
      </c>
      <c r="N131">
        <f t="shared" si="110"/>
        <v>0</v>
      </c>
    </row>
    <row r="132" spans="3:14" x14ac:dyDescent="0.3">
      <c r="C132" t="str">
        <f>'rough sheet'!C908</f>
        <v>Acquisition of other investments</v>
      </c>
      <c r="E132">
        <f>'rough sheet'!E908</f>
        <v>0</v>
      </c>
      <c r="F132">
        <f>'rough sheet'!F908</f>
        <v>-1.9</v>
      </c>
      <c r="G132">
        <f>'rough sheet'!G908</f>
        <v>0</v>
      </c>
      <c r="H132">
        <f>'rough sheet'!H908</f>
        <v>0</v>
      </c>
      <c r="I132">
        <f>'rough sheet'!I908</f>
        <v>0</v>
      </c>
      <c r="J132">
        <f>I132</f>
        <v>0</v>
      </c>
      <c r="K132">
        <f t="shared" ref="K132:N132" si="111">J132</f>
        <v>0</v>
      </c>
      <c r="L132">
        <f t="shared" si="111"/>
        <v>0</v>
      </c>
      <c r="M132">
        <f t="shared" si="111"/>
        <v>0</v>
      </c>
      <c r="N132">
        <f t="shared" si="111"/>
        <v>0</v>
      </c>
    </row>
    <row r="133" spans="3:14" x14ac:dyDescent="0.3">
      <c r="C133" t="str">
        <f>'rough sheet'!C909</f>
        <v>Dividend from jointly controlled entity</v>
      </c>
      <c r="E133">
        <f>'rough sheet'!E909</f>
        <v>0</v>
      </c>
      <c r="F133">
        <f>'rough sheet'!F909</f>
        <v>9.8000000000000007</v>
      </c>
      <c r="G133">
        <f>'rough sheet'!G909</f>
        <v>2.6</v>
      </c>
      <c r="H133">
        <f>'rough sheet'!H909</f>
        <v>0</v>
      </c>
      <c r="I133">
        <f>'rough sheet'!I909</f>
        <v>0</v>
      </c>
      <c r="J133">
        <f>I133</f>
        <v>0</v>
      </c>
      <c r="K133">
        <f t="shared" ref="K133:N133" si="112">J133</f>
        <v>0</v>
      </c>
      <c r="L133">
        <f t="shared" si="112"/>
        <v>0</v>
      </c>
      <c r="M133">
        <f t="shared" si="112"/>
        <v>0</v>
      </c>
      <c r="N133">
        <f t="shared" si="112"/>
        <v>0</v>
      </c>
    </row>
    <row r="134" spans="3:14" x14ac:dyDescent="0.3">
      <c r="C134" t="str">
        <f>'rough sheet'!C910</f>
        <v>Disposal of preference shares in jointly controlled entity</v>
      </c>
      <c r="E134">
        <f>'rough sheet'!E910</f>
        <v>0</v>
      </c>
      <c r="F134">
        <f>'rough sheet'!F910</f>
        <v>5.5</v>
      </c>
      <c r="G134">
        <f>'rough sheet'!G910</f>
        <v>0</v>
      </c>
      <c r="H134">
        <f>'rough sheet'!H910</f>
        <v>0</v>
      </c>
      <c r="I134">
        <f>'rough sheet'!I910</f>
        <v>0</v>
      </c>
      <c r="J134">
        <f>I134</f>
        <v>0</v>
      </c>
      <c r="K134">
        <f t="shared" ref="K134:N134" si="113">J134</f>
        <v>0</v>
      </c>
      <c r="L134">
        <f t="shared" si="113"/>
        <v>0</v>
      </c>
      <c r="M134">
        <f t="shared" si="113"/>
        <v>0</v>
      </c>
      <c r="N134">
        <f t="shared" si="113"/>
        <v>0</v>
      </c>
    </row>
    <row r="136" spans="3:14" x14ac:dyDescent="0.3">
      <c r="C136" t="str">
        <f>'rough sheet'!C912</f>
        <v>Interest received</v>
      </c>
      <c r="E136">
        <f>'rough sheet'!E912</f>
        <v>0.8</v>
      </c>
      <c r="F136">
        <f>'rough sheet'!F912</f>
        <v>0.3</v>
      </c>
      <c r="G136">
        <f>'rough sheet'!G912</f>
        <v>2.8</v>
      </c>
      <c r="H136">
        <f>'rough sheet'!H912</f>
        <v>7.4</v>
      </c>
      <c r="I136">
        <f>'rough sheet'!I912</f>
        <v>10.199999999999999</v>
      </c>
      <c r="J136" s="100">
        <f>J30</f>
        <v>3.6074999999999999</v>
      </c>
      <c r="K136" s="100">
        <f>K30</f>
        <v>4.0783889999999987</v>
      </c>
      <c r="L136" s="100">
        <f>L30</f>
        <v>8.0064959907802873</v>
      </c>
      <c r="M136" s="100">
        <f>M30</f>
        <v>9.145089425808079</v>
      </c>
      <c r="N136" s="100">
        <f>N30</f>
        <v>20.045054704595817</v>
      </c>
    </row>
    <row r="137" spans="3:14" x14ac:dyDescent="0.3">
      <c r="C137" s="2" t="str">
        <f>'rough sheet'!C913</f>
        <v>Net cash from Investing activities</v>
      </c>
      <c r="E137" s="47">
        <f>E121+E123+E124+E127+E128+E129+E130+E131+E132+E133+E134+E136</f>
        <v>-291.7</v>
      </c>
      <c r="F137" s="47">
        <f t="shared" ref="F137:I137" si="114">F121+F123+F124+F127+F128+F129+F130+F131+F132+F133+F134+F136</f>
        <v>-271.09999999999991</v>
      </c>
      <c r="G137" s="47">
        <f t="shared" si="114"/>
        <v>-331.59999999999991</v>
      </c>
      <c r="H137" s="47">
        <f t="shared" si="114"/>
        <v>-173.79999999999998</v>
      </c>
      <c r="I137" s="47">
        <f t="shared" si="114"/>
        <v>-109.69999999999997</v>
      </c>
      <c r="J137" s="57">
        <f t="shared" ref="J137" si="115">J121+J123+J124+J127+J128+J129+J130+J131+J132+J133+J134+J136</f>
        <v>-296.39249999999993</v>
      </c>
      <c r="K137" s="57">
        <f t="shared" ref="K137" si="116">K121+K123+K124+K127+K128+K129+K130+K131+K132+K133+K134+K136</f>
        <v>-295.92161099999993</v>
      </c>
      <c r="L137" s="57">
        <f t="shared" ref="L137" si="117">L121+L123+L124+L127+L128+L129+L130+L131+L132+L133+L134+L136</f>
        <v>-291.99350400921963</v>
      </c>
      <c r="M137" s="57">
        <f t="shared" ref="M137" si="118">M121+M123+M124+M127+M128+M129+M130+M131+M132+M133+M134+M136</f>
        <v>-290.85491057419188</v>
      </c>
      <c r="N137" s="57">
        <f t="shared" ref="N137" si="119">N121+N123+N124+N127+N128+N129+N130+N131+N132+N133+N134+N136</f>
        <v>-379.95494529540417</v>
      </c>
    </row>
    <row r="139" spans="3:14" x14ac:dyDescent="0.3">
      <c r="C139" s="2" t="str">
        <f>'rough sheet'!C915</f>
        <v>Cashflows from financing activities</v>
      </c>
    </row>
    <row r="141" spans="3:14" x14ac:dyDescent="0.3">
      <c r="C141" t="str">
        <f>'rough sheet'!C917</f>
        <v>Repurchase of own shares</v>
      </c>
      <c r="E141">
        <f>'rough sheet'!E917</f>
        <v>-8.6999999999999993</v>
      </c>
      <c r="F141">
        <f>'rough sheet'!F917</f>
        <v>-228.5</v>
      </c>
      <c r="G141">
        <f>'rough sheet'!G917</f>
        <v>-177.3</v>
      </c>
      <c r="H141">
        <f>J141</f>
        <v>-550</v>
      </c>
      <c r="I141">
        <f>'rough sheet'!I917</f>
        <v>-131.4</v>
      </c>
      <c r="J141" s="99">
        <f>-J518</f>
        <v>-550</v>
      </c>
      <c r="K141" s="99">
        <f>-K518</f>
        <v>-400</v>
      </c>
      <c r="L141" s="99">
        <f>-L518</f>
        <v>-300</v>
      </c>
      <c r="M141" s="99">
        <f>-M518</f>
        <v>-400</v>
      </c>
      <c r="N141" s="99">
        <f>-N518</f>
        <v>-400</v>
      </c>
    </row>
    <row r="142" spans="3:14" x14ac:dyDescent="0.3">
      <c r="C142" t="str">
        <f>'rough sheet'!C918</f>
        <v>Return of capital via B share scheme</v>
      </c>
      <c r="E142">
        <f>'rough sheet'!E918</f>
        <v>0</v>
      </c>
      <c r="F142">
        <f>'rough sheet'!F918</f>
        <v>0</v>
      </c>
      <c r="G142">
        <f>'rough sheet'!G918</f>
        <v>0</v>
      </c>
      <c r="H142">
        <f>'rough sheet'!H918</f>
        <v>0</v>
      </c>
      <c r="I142">
        <f>'rough sheet'!I918</f>
        <v>-421.5</v>
      </c>
      <c r="J142">
        <v>0</v>
      </c>
      <c r="K142" s="100">
        <f>J142</f>
        <v>0</v>
      </c>
      <c r="L142" s="100">
        <f t="shared" ref="L142:N142" si="120">K142</f>
        <v>0</v>
      </c>
      <c r="M142" s="100">
        <f t="shared" si="120"/>
        <v>0</v>
      </c>
      <c r="N142" s="100">
        <f t="shared" si="120"/>
        <v>0</v>
      </c>
    </row>
    <row r="143" spans="3:14" x14ac:dyDescent="0.3">
      <c r="C143" t="str">
        <f>'rough sheet'!C919</f>
        <v>Dividends paid to owners of NEXT plc</v>
      </c>
      <c r="E143">
        <f>'rough sheet'!E919</f>
        <v>-344.5</v>
      </c>
      <c r="F143">
        <f>'rough sheet'!F919</f>
        <v>-237.4</v>
      </c>
      <c r="G143">
        <f>'rough sheet'!G919</f>
        <v>-248.3</v>
      </c>
      <c r="H143">
        <f>'rough sheet'!H919</f>
        <v>-257.8</v>
      </c>
      <c r="I143">
        <f>'rough sheet'!I919</f>
        <v>-286.5</v>
      </c>
      <c r="J143">
        <f>-J459</f>
        <v>-318</v>
      </c>
      <c r="K143" s="100">
        <f t="shared" ref="K143:N143" si="121">-K459</f>
        <v>-347.47142327345603</v>
      </c>
      <c r="L143" s="100">
        <f t="shared" si="121"/>
        <v>-379.01762937240801</v>
      </c>
      <c r="M143" s="100">
        <f t="shared" si="121"/>
        <v>-411.24841618479502</v>
      </c>
      <c r="N143" s="100">
        <f t="shared" si="121"/>
        <v>-442.88278505539398</v>
      </c>
    </row>
    <row r="144" spans="3:14" x14ac:dyDescent="0.3">
      <c r="K144" s="100"/>
      <c r="L144" s="100"/>
      <c r="M144" s="100"/>
      <c r="N144" s="100"/>
    </row>
    <row r="145" spans="3:19" x14ac:dyDescent="0.3">
      <c r="K145" s="100"/>
      <c r="L145" s="100"/>
      <c r="M145" s="100"/>
      <c r="N145" s="100"/>
    </row>
    <row r="146" spans="3:19" x14ac:dyDescent="0.3">
      <c r="C146" t="str">
        <f>'rough sheet'!C922</f>
        <v>purchase of shares by ESOT</v>
      </c>
      <c r="E146">
        <f>'rough sheet'!E922</f>
        <v>-151.30000000000001</v>
      </c>
      <c r="F146">
        <f>'rough sheet'!F922</f>
        <v>-124</v>
      </c>
      <c r="G146">
        <f>'rough sheet'!G922</f>
        <v>-116.3</v>
      </c>
      <c r="H146">
        <f>'rough sheet'!H922</f>
        <v>-126.8</v>
      </c>
      <c r="I146">
        <f>'rough sheet'!I922</f>
        <v>-169</v>
      </c>
      <c r="J146">
        <f>-(J147-J466)</f>
        <v>-169</v>
      </c>
      <c r="K146" s="100">
        <f>J146</f>
        <v>-169</v>
      </c>
      <c r="L146" s="100">
        <f t="shared" ref="L146:N146" si="122">K146</f>
        <v>-169</v>
      </c>
      <c r="M146" s="100">
        <f t="shared" si="122"/>
        <v>-169</v>
      </c>
      <c r="N146" s="100">
        <f t="shared" si="122"/>
        <v>-169</v>
      </c>
    </row>
    <row r="147" spans="3:19" x14ac:dyDescent="0.3">
      <c r="C147" t="str">
        <f>'rough sheet'!C923</f>
        <v>Disposal of shares by ESOT</v>
      </c>
      <c r="E147">
        <f>'rough sheet'!E923</f>
        <v>72.5</v>
      </c>
      <c r="F147">
        <f>'rough sheet'!F923</f>
        <v>34.299999999999997</v>
      </c>
      <c r="G147">
        <f>'rough sheet'!G923</f>
        <v>97.8</v>
      </c>
      <c r="H147">
        <f>'rough sheet'!H923</f>
        <v>77</v>
      </c>
      <c r="I147">
        <f>'rough sheet'!I923</f>
        <v>107.2</v>
      </c>
      <c r="J147">
        <f>J467</f>
        <v>105</v>
      </c>
      <c r="K147" s="100">
        <f>J147</f>
        <v>105</v>
      </c>
      <c r="L147" s="100">
        <f>K147</f>
        <v>105</v>
      </c>
      <c r="M147" s="100">
        <f t="shared" ref="M147:N147" si="123">L147</f>
        <v>105</v>
      </c>
      <c r="N147" s="100">
        <f t="shared" si="123"/>
        <v>105</v>
      </c>
    </row>
    <row r="148" spans="3:19" x14ac:dyDescent="0.3">
      <c r="K148" s="100"/>
      <c r="L148" s="100"/>
      <c r="M148" s="100"/>
      <c r="N148" s="100"/>
    </row>
    <row r="149" spans="3:19" x14ac:dyDescent="0.3">
      <c r="K149" s="100"/>
      <c r="L149" s="100"/>
      <c r="M149" s="100"/>
      <c r="N149" s="100"/>
    </row>
    <row r="150" spans="3:19" x14ac:dyDescent="0.3">
      <c r="C150" t="str">
        <f>'rough sheet'!C926</f>
        <v>Repayment of corporate bonds</v>
      </c>
      <c r="E150">
        <f>'rough sheet'!E926</f>
        <v>-325</v>
      </c>
      <c r="F150">
        <f>'rough sheet'!F926</f>
        <v>0</v>
      </c>
      <c r="G150">
        <f>'rough sheet'!G926</f>
        <v>0</v>
      </c>
      <c r="H150">
        <f>'rough sheet'!H926</f>
        <v>0</v>
      </c>
      <c r="I150">
        <f>'rough sheet'!I926</f>
        <v>-386.4</v>
      </c>
      <c r="J150">
        <f>J701</f>
        <v>-112.9</v>
      </c>
      <c r="K150" s="100">
        <f>K701</f>
        <v>0</v>
      </c>
      <c r="L150" s="100">
        <f>L701</f>
        <v>-300</v>
      </c>
      <c r="M150" s="100">
        <f>M701</f>
        <v>0</v>
      </c>
      <c r="N150" s="100">
        <f>N701</f>
        <v>0</v>
      </c>
    </row>
    <row r="151" spans="3:19" x14ac:dyDescent="0.3">
      <c r="C151" t="str">
        <f>'rough sheet'!C927</f>
        <v>Issue of corporate bonds</v>
      </c>
      <c r="E151">
        <f>'rough sheet'!E927</f>
        <v>0</v>
      </c>
      <c r="F151">
        <f>'rough sheet'!F927</f>
        <v>0</v>
      </c>
      <c r="G151">
        <f>'rough sheet'!G927</f>
        <v>0</v>
      </c>
      <c r="H151">
        <f>'rough sheet'!H927</f>
        <v>0</v>
      </c>
      <c r="I151">
        <f>'rough sheet'!I927</f>
        <v>298.39999999999998</v>
      </c>
      <c r="J151">
        <v>0</v>
      </c>
      <c r="K151" s="100">
        <f>J151</f>
        <v>0</v>
      </c>
      <c r="L151" s="100">
        <f t="shared" ref="L151:N151" si="124">K151</f>
        <v>0</v>
      </c>
      <c r="M151" s="100">
        <f t="shared" si="124"/>
        <v>0</v>
      </c>
      <c r="N151" s="100">
        <f t="shared" si="124"/>
        <v>0</v>
      </c>
    </row>
    <row r="152" spans="3:19" x14ac:dyDescent="0.3">
      <c r="C152" t="str">
        <f>'rough sheet'!C928</f>
        <v>Repayment of Loans</v>
      </c>
      <c r="E152">
        <f>'rough sheet'!E928</f>
        <v>0</v>
      </c>
      <c r="F152">
        <f>'rough sheet'!F928</f>
        <v>0</v>
      </c>
      <c r="G152">
        <f>'rough sheet'!G928</f>
        <v>-2.5</v>
      </c>
      <c r="H152">
        <f>'rough sheet'!H928</f>
        <v>-2.4</v>
      </c>
      <c r="I152">
        <f>'rough sheet'!I928</f>
        <v>-31.5</v>
      </c>
      <c r="J152">
        <v>0</v>
      </c>
      <c r="K152" s="100">
        <f>J152</f>
        <v>0</v>
      </c>
      <c r="L152" s="100">
        <f t="shared" ref="L152:N152" si="125">K152</f>
        <v>0</v>
      </c>
      <c r="M152" s="100">
        <f t="shared" si="125"/>
        <v>0</v>
      </c>
      <c r="N152" s="100">
        <f t="shared" si="125"/>
        <v>0</v>
      </c>
    </row>
    <row r="153" spans="3:19" x14ac:dyDescent="0.3">
      <c r="C153" t="str">
        <f>'rough sheet'!C929</f>
        <v>Drawdown of revolving credit facility</v>
      </c>
      <c r="E153">
        <f>'rough sheet'!E929</f>
        <v>0</v>
      </c>
      <c r="F153">
        <f>'rough sheet'!F929</f>
        <v>0</v>
      </c>
      <c r="G153">
        <f>'rough sheet'!G929</f>
        <v>0</v>
      </c>
      <c r="H153">
        <f>'rough sheet'!H929</f>
        <v>0</v>
      </c>
      <c r="I153">
        <f>'rough sheet'!I929</f>
        <v>60</v>
      </c>
      <c r="J153" s="99">
        <f>J676</f>
        <v>-5.4229598545005473</v>
      </c>
      <c r="K153" s="99">
        <f>K676</f>
        <v>-54.577040145499453</v>
      </c>
      <c r="L153" s="99">
        <f>L676</f>
        <v>0</v>
      </c>
      <c r="M153" s="99">
        <f>M676</f>
        <v>0</v>
      </c>
      <c r="N153" s="99">
        <f>N676</f>
        <v>0</v>
      </c>
    </row>
    <row r="156" spans="3:19" x14ac:dyDescent="0.3">
      <c r="C156" t="str">
        <f>'rough sheet'!C932</f>
        <v xml:space="preserve">Proceeds from sale and leaseback transactions </v>
      </c>
      <c r="E156">
        <f>'rough sheet'!E932</f>
        <v>14.3</v>
      </c>
      <c r="F156">
        <f>'rough sheet'!F932</f>
        <v>59.3</v>
      </c>
      <c r="G156">
        <f>'rough sheet'!G932</f>
        <v>18.600000000000001</v>
      </c>
      <c r="H156">
        <f>'rough sheet'!H932</f>
        <v>0</v>
      </c>
      <c r="I156">
        <f>'rough sheet'!I932</f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</row>
    <row r="157" spans="3:19" x14ac:dyDescent="0.3">
      <c r="C157" t="str">
        <f>'rough sheet'!C933</f>
        <v>Incentives received for leases within the scope of IFRS 16</v>
      </c>
      <c r="E157">
        <f>'rough sheet'!E933</f>
        <v>11.9</v>
      </c>
      <c r="F157">
        <f>'rough sheet'!F933</f>
        <v>0.1</v>
      </c>
      <c r="G157">
        <f>'rough sheet'!G933</f>
        <v>0</v>
      </c>
      <c r="H157">
        <f>'rough sheet'!H933</f>
        <v>1</v>
      </c>
      <c r="I157">
        <f>'rough sheet'!I933</f>
        <v>0.7</v>
      </c>
      <c r="J157" s="99">
        <f>0</f>
        <v>0</v>
      </c>
      <c r="K157" s="99">
        <f t="shared" ref="K157:N157" si="126">J157</f>
        <v>0</v>
      </c>
      <c r="L157" s="99">
        <f t="shared" si="126"/>
        <v>0</v>
      </c>
      <c r="M157" s="99">
        <f t="shared" si="126"/>
        <v>0</v>
      </c>
      <c r="N157" s="99">
        <f t="shared" si="126"/>
        <v>0</v>
      </c>
    </row>
    <row r="158" spans="3:19" x14ac:dyDescent="0.3">
      <c r="C158" t="str">
        <f>'rough sheet'!C934</f>
        <v>Lease payments</v>
      </c>
      <c r="E158">
        <f>'rough sheet'!E934</f>
        <v>-172.3</v>
      </c>
      <c r="F158">
        <f>'rough sheet'!F934</f>
        <v>-157.1</v>
      </c>
      <c r="G158">
        <f>'rough sheet'!G934</f>
        <v>-156.1</v>
      </c>
      <c r="H158">
        <f>'rough sheet'!H934</f>
        <v>-164.6</v>
      </c>
      <c r="I158">
        <f>'rough sheet'!I934</f>
        <v>-167.4</v>
      </c>
      <c r="J158" s="99">
        <f>($J$467-$J$466)*-1</f>
        <v>-169</v>
      </c>
      <c r="K158" s="99">
        <f t="shared" ref="K158:N158" si="127">($J$467-$J$466)*-1</f>
        <v>-169</v>
      </c>
      <c r="L158" s="99">
        <f t="shared" si="127"/>
        <v>-169</v>
      </c>
      <c r="M158" s="99">
        <f t="shared" si="127"/>
        <v>-169</v>
      </c>
      <c r="N158" s="99">
        <f t="shared" si="127"/>
        <v>-169</v>
      </c>
    </row>
    <row r="159" spans="3:19" x14ac:dyDescent="0.3">
      <c r="C159" t="str">
        <f>'rough sheet'!C935</f>
        <v>Interest paid(including lease interest)</v>
      </c>
      <c r="E159">
        <f>'rough sheet'!E935</f>
        <v>-91.1</v>
      </c>
      <c r="F159">
        <f>'rough sheet'!F935</f>
        <v>-74.099999999999994</v>
      </c>
      <c r="G159">
        <f>'rough sheet'!G935</f>
        <v>-79.2</v>
      </c>
      <c r="H159">
        <f>'rough sheet'!H935</f>
        <v>-93.3</v>
      </c>
      <c r="I159">
        <f>'rough sheet'!I935</f>
        <v>-94.1</v>
      </c>
      <c r="J159" s="99">
        <f>-J31</f>
        <v>19.459936210205811</v>
      </c>
      <c r="K159" s="99">
        <f>-K31</f>
        <v>20.939619811427441</v>
      </c>
      <c r="L159" s="99">
        <f>-L31</f>
        <v>28.678782258355781</v>
      </c>
      <c r="M159" s="99">
        <f>-M31</f>
        <v>29.824308766906544</v>
      </c>
      <c r="N159" s="99">
        <f>-N31</f>
        <v>28.241797459854705</v>
      </c>
    </row>
    <row r="160" spans="3:19" x14ac:dyDescent="0.3">
      <c r="S160" s="99"/>
    </row>
    <row r="162" spans="3:14" x14ac:dyDescent="0.3">
      <c r="C162" t="str">
        <f>'rough sheet'!C938</f>
        <v>Purchase of equity from Non controlling interests</v>
      </c>
      <c r="E162">
        <v>0</v>
      </c>
      <c r="F162">
        <v>0</v>
      </c>
      <c r="G162">
        <v>0</v>
      </c>
      <c r="H162">
        <f>'rough sheet'!H938</f>
        <v>-5</v>
      </c>
      <c r="I162">
        <f>'rough sheet'!I938</f>
        <v>-1.5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3:14" x14ac:dyDescent="0.3">
      <c r="C163" t="str">
        <f>'rough sheet'!C939</f>
        <v>Issue of shares in subsidiaries to non controlling interests</v>
      </c>
      <c r="E163">
        <v>0</v>
      </c>
      <c r="F163">
        <v>0</v>
      </c>
      <c r="G163">
        <v>0</v>
      </c>
      <c r="H163">
        <f>'rough sheet'!H939</f>
        <v>0.5</v>
      </c>
      <c r="I163">
        <f>'rough sheet'!I939</f>
        <v>0</v>
      </c>
      <c r="J163">
        <f>I163</f>
        <v>0</v>
      </c>
      <c r="K163">
        <f t="shared" ref="K163:N163" si="128">J163</f>
        <v>0</v>
      </c>
      <c r="L163">
        <f t="shared" si="128"/>
        <v>0</v>
      </c>
      <c r="M163">
        <f t="shared" si="128"/>
        <v>0</v>
      </c>
      <c r="N163">
        <f t="shared" si="128"/>
        <v>0</v>
      </c>
    </row>
    <row r="164" spans="3:14" x14ac:dyDescent="0.3">
      <c r="C164" t="str">
        <f>'rough sheet'!C940</f>
        <v>Dividends paid to Non controlling interests in subsidiaries</v>
      </c>
      <c r="E164">
        <v>0</v>
      </c>
      <c r="F164">
        <v>0</v>
      </c>
      <c r="G164">
        <v>0</v>
      </c>
      <c r="H164">
        <f>'rough sheet'!H940</f>
        <v>-8</v>
      </c>
      <c r="I164">
        <f>'rough sheet'!I940</f>
        <v>-2</v>
      </c>
      <c r="J164">
        <f>I164</f>
        <v>-2</v>
      </c>
      <c r="K164">
        <f t="shared" ref="K164:N164" si="129">J164</f>
        <v>-2</v>
      </c>
      <c r="L164">
        <f t="shared" si="129"/>
        <v>-2</v>
      </c>
      <c r="M164">
        <f t="shared" si="129"/>
        <v>-2</v>
      </c>
      <c r="N164">
        <f t="shared" si="129"/>
        <v>-2</v>
      </c>
    </row>
    <row r="165" spans="3:14" x14ac:dyDescent="0.3">
      <c r="C165" s="2" t="str">
        <f>'rough sheet'!C941</f>
        <v>Net cash from financing activities</v>
      </c>
      <c r="E165" s="47">
        <f>E141+E142+E143+E146+E147+E150+E151+E152+E153+E156+E157+E158+E159+E162+E163+E164</f>
        <v>-994.20000000000016</v>
      </c>
      <c r="F165" s="47">
        <f t="shared" ref="F165:I165" si="130">F141+F142+F143+F146+F147+F150+F151+F152+F153+F156+F157+F158+F159+F162+F163+F164</f>
        <v>-727.4</v>
      </c>
      <c r="G165" s="47">
        <f t="shared" si="130"/>
        <v>-663.3</v>
      </c>
      <c r="H165" s="47">
        <f>H141+H142+H143+H146+H147+H150+H151+H152+H153+H156+H157+H158+H159+H162+H163+H164</f>
        <v>-1129.3999999999999</v>
      </c>
      <c r="I165" s="47">
        <f t="shared" si="130"/>
        <v>-1224.9999999999998</v>
      </c>
      <c r="J165" s="111">
        <f>J141+J142+J143+J146+J147+J150+J151+J152+J153+J156+J157+J158+J159+J162+J163+J164</f>
        <v>-1201.8630236442948</v>
      </c>
      <c r="K165" s="111">
        <f t="shared" ref="K165" si="131">K141+K142+K143+K146+K147+K150+K151+K152+K153+K156+K157+K158+K159+K162+K163+K164</f>
        <v>-1016.1088436075282</v>
      </c>
      <c r="L165" s="111">
        <f t="shared" ref="L165" si="132">L141+L142+L143+L146+L147+L150+L151+L152+L153+L156+L157+L158+L159+L162+L163+L164</f>
        <v>-1185.3388471140522</v>
      </c>
      <c r="M165" s="111">
        <f>M141+M142+M143+M146+M147+M150+M151+M152+M153+M156+M157+M158+M159+M162+M163+M164</f>
        <v>-1016.4241074178885</v>
      </c>
      <c r="N165" s="111">
        <f t="shared" ref="N165" si="133">N141+N142+N143+N146+N147+N150+N151+N152+N153+N156+N157+N158+N159+N162+N163+N164</f>
        <v>-1049.6409875955392</v>
      </c>
    </row>
    <row r="166" spans="3:14" x14ac:dyDescent="0.3">
      <c r="C166" s="2" t="str">
        <f>'rough sheet'!C942</f>
        <v>Net (decrease)/increase in cash and cash equivalents</v>
      </c>
      <c r="E166" s="2">
        <f>E113+E137+E165</f>
        <v>-314.5000000000008</v>
      </c>
      <c r="F166" s="2">
        <f t="shared" ref="F166:I166" si="134">F113+F137+F165</f>
        <v>-199.70000000000061</v>
      </c>
      <c r="G166" s="2">
        <f t="shared" si="134"/>
        <v>122.59999999999991</v>
      </c>
      <c r="H166" s="2">
        <f t="shared" si="134"/>
        <v>-176.69999999999982</v>
      </c>
      <c r="I166" s="2">
        <f t="shared" si="134"/>
        <v>-111.29999999999973</v>
      </c>
      <c r="J166" s="126">
        <f>J113+J137+J165</f>
        <v>12.557039999999688</v>
      </c>
      <c r="K166" s="126">
        <f t="shared" ref="K166" si="135">K113+K137+K165</f>
        <v>104.74951975414103</v>
      </c>
      <c r="L166" s="126">
        <f t="shared" ref="L166" si="136">L113+L137+L165</f>
        <v>30.362491600741123</v>
      </c>
      <c r="M166" s="126">
        <f t="shared" ref="M166" si="137">M113+M137+M165</f>
        <v>290.66574076767301</v>
      </c>
      <c r="N166" s="126">
        <f t="shared" ref="N166" si="138">N113+N137+N165</f>
        <v>227.77566695834412</v>
      </c>
    </row>
    <row r="167" spans="3:14" x14ac:dyDescent="0.3">
      <c r="C167" s="2" t="str">
        <f>'rough sheet'!C943</f>
        <v>Opening cash and cash equivalenrs</v>
      </c>
      <c r="E167" s="2">
        <f>'rough sheet'!E943</f>
        <v>514.79999999999995</v>
      </c>
      <c r="F167" s="2">
        <f>'rough sheet'!F943</f>
        <v>199.9</v>
      </c>
      <c r="G167" s="2">
        <f>'rough sheet'!G943</f>
        <v>2.7</v>
      </c>
      <c r="H167" s="2">
        <f>'rough sheet'!H943</f>
        <v>124.3</v>
      </c>
      <c r="I167" s="2">
        <f>'rough sheet'!I943</f>
        <v>171.3</v>
      </c>
      <c r="J167" s="99">
        <f>I170</f>
        <v>60.200000000000287</v>
      </c>
      <c r="K167" s="99">
        <f t="shared" ref="K167:N167" si="139">J170</f>
        <v>72.757039999999975</v>
      </c>
      <c r="L167" s="99">
        <f t="shared" si="139"/>
        <v>177.50655975414099</v>
      </c>
      <c r="M167" s="99">
        <f t="shared" si="139"/>
        <v>207.86905135488212</v>
      </c>
      <c r="N167" s="99">
        <f t="shared" si="139"/>
        <v>498.53479212255513</v>
      </c>
    </row>
    <row r="168" spans="3:14" x14ac:dyDescent="0.3">
      <c r="C168" t="str">
        <f>'rough sheet'!C944</f>
        <v>exclude bank loans</v>
      </c>
      <c r="E168">
        <f>'rough sheet'!E944</f>
        <v>0</v>
      </c>
      <c r="F168">
        <f>'rough sheet'!F944</f>
        <v>0</v>
      </c>
      <c r="G168">
        <f>'rough sheet'!G944</f>
        <v>0</v>
      </c>
      <c r="H168">
        <f>'rough sheet'!H944</f>
        <v>33.9</v>
      </c>
      <c r="I168">
        <f>'rough sheet'!I944</f>
        <v>0</v>
      </c>
      <c r="J168" s="99">
        <f>I168</f>
        <v>0</v>
      </c>
      <c r="K168" s="99">
        <f t="shared" ref="K168:N168" si="140">J168</f>
        <v>0</v>
      </c>
      <c r="L168" s="99">
        <f t="shared" si="140"/>
        <v>0</v>
      </c>
      <c r="M168" s="99">
        <f t="shared" si="140"/>
        <v>0</v>
      </c>
      <c r="N168" s="99">
        <f t="shared" si="140"/>
        <v>0</v>
      </c>
    </row>
    <row r="169" spans="3:14" x14ac:dyDescent="0.3">
      <c r="C169" t="str">
        <f>'rough sheet'!C945</f>
        <v>effect of exchange rate fluctuations on cash held</v>
      </c>
      <c r="E169">
        <f>'rough sheet'!E945</f>
        <v>-0.4</v>
      </c>
      <c r="F169">
        <f>'rough sheet'!F945</f>
        <v>2.5</v>
      </c>
      <c r="G169">
        <f>'rough sheet'!G945</f>
        <v>-1</v>
      </c>
      <c r="H169">
        <f>'rough sheet'!H945</f>
        <v>0</v>
      </c>
      <c r="I169">
        <f>'rough sheet'!I945</f>
        <v>0.2</v>
      </c>
      <c r="J169" s="99">
        <v>0</v>
      </c>
      <c r="K169" s="99">
        <f>J169</f>
        <v>0</v>
      </c>
      <c r="L169" s="99">
        <f t="shared" ref="L169:N169" si="141">K169</f>
        <v>0</v>
      </c>
      <c r="M169" s="99">
        <f t="shared" si="141"/>
        <v>0</v>
      </c>
      <c r="N169" s="99">
        <f t="shared" si="141"/>
        <v>0</v>
      </c>
    </row>
    <row r="170" spans="3:14" x14ac:dyDescent="0.3">
      <c r="C170" s="2" t="str">
        <f>'rough sheet'!C946</f>
        <v>closing cash and cash equivalents</v>
      </c>
      <c r="E170" s="47">
        <f>E166+E167+E168+E169</f>
        <v>199.89999999999915</v>
      </c>
      <c r="F170" s="47">
        <f t="shared" ref="F170:G170" si="142">F166+F167+F168+F169</f>
        <v>2.6999999999993918</v>
      </c>
      <c r="G170" s="47">
        <f t="shared" si="142"/>
        <v>124.29999999999991</v>
      </c>
      <c r="H170" s="47">
        <f t="shared" ref="H170" si="143">H166+H167+H168+H169</f>
        <v>-18.499999999999822</v>
      </c>
      <c r="I170" s="47">
        <f t="shared" ref="I170" si="144">I166+I167+I168+I169</f>
        <v>60.200000000000287</v>
      </c>
      <c r="J170" s="111">
        <f t="shared" ref="J170" si="145">J166+J167+J168+J169</f>
        <v>72.757039999999975</v>
      </c>
      <c r="K170" s="111">
        <f t="shared" ref="K170" si="146">K166+K167+K168+K169</f>
        <v>177.50655975414099</v>
      </c>
      <c r="L170" s="111">
        <f t="shared" ref="L170" si="147">L166+L167+L168+L169</f>
        <v>207.86905135488212</v>
      </c>
      <c r="M170" s="111">
        <f t="shared" ref="M170" si="148">M166+M167+M168+M169</f>
        <v>498.53479212255513</v>
      </c>
      <c r="N170" s="111">
        <f t="shared" ref="N170" si="149">N166+N167+N168+N169</f>
        <v>726.31045908089925</v>
      </c>
    </row>
    <row r="171" spans="3:14" x14ac:dyDescent="0.3">
      <c r="C171" s="2"/>
      <c r="D171" s="2"/>
      <c r="E171" s="2"/>
      <c r="F171" s="2"/>
      <c r="G171" s="2"/>
      <c r="H171" s="2"/>
      <c r="I171" s="2"/>
    </row>
    <row r="172" spans="3:14" x14ac:dyDescent="0.3">
      <c r="C172" s="2" t="s">
        <v>7</v>
      </c>
      <c r="D172" s="2"/>
      <c r="E172" s="2"/>
      <c r="F172" s="2"/>
      <c r="G172" s="2"/>
      <c r="H172" s="2"/>
      <c r="I172" s="2"/>
      <c r="J172" s="99">
        <f>J170-J768</f>
        <v>0</v>
      </c>
      <c r="K172" s="99">
        <f>K170-K768</f>
        <v>0</v>
      </c>
      <c r="L172" s="99">
        <f>L170-L768</f>
        <v>0</v>
      </c>
      <c r="M172" s="99">
        <f>M170-M768</f>
        <v>0</v>
      </c>
      <c r="N172" s="99">
        <f>N170-N768</f>
        <v>0</v>
      </c>
    </row>
    <row r="173" spans="3:14" x14ac:dyDescent="0.3">
      <c r="C173" s="2"/>
      <c r="D173" s="2"/>
      <c r="E173" s="2"/>
      <c r="F173" s="2"/>
      <c r="G173" s="2"/>
      <c r="H173" s="2"/>
      <c r="I173" s="2"/>
    </row>
    <row r="174" spans="3:14" x14ac:dyDescent="0.3">
      <c r="C174" s="2"/>
      <c r="D174" s="2"/>
      <c r="E174" s="2"/>
      <c r="F174" s="2"/>
      <c r="G174" s="2"/>
      <c r="H174" s="2"/>
      <c r="I174" s="2"/>
      <c r="J174" t="s">
        <v>236</v>
      </c>
    </row>
    <row r="175" spans="3:14" x14ac:dyDescent="0.3">
      <c r="C175" s="2"/>
      <c r="D175" s="2"/>
      <c r="E175" s="2"/>
      <c r="F175" s="2"/>
      <c r="G175" s="2"/>
      <c r="H175" s="2"/>
      <c r="I175" s="2"/>
    </row>
    <row r="176" spans="3:14" x14ac:dyDescent="0.3">
      <c r="C176" s="2"/>
      <c r="D176" s="2"/>
      <c r="E176" s="2"/>
      <c r="F176" s="2"/>
      <c r="G176" s="2"/>
      <c r="H176" s="2"/>
      <c r="I176" s="2"/>
    </row>
    <row r="177" spans="3:14" x14ac:dyDescent="0.3">
      <c r="C177" s="2"/>
      <c r="D177" s="2"/>
      <c r="E177" s="2"/>
      <c r="F177" s="2"/>
      <c r="G177" s="2"/>
      <c r="H177" s="2"/>
      <c r="I177" s="2"/>
    </row>
    <row r="178" spans="3:14" x14ac:dyDescent="0.3">
      <c r="C178" s="2"/>
      <c r="D178" s="2"/>
      <c r="E178" s="2"/>
      <c r="F178" s="2"/>
      <c r="G178" s="2"/>
      <c r="H178" s="2"/>
      <c r="I178" s="2"/>
    </row>
    <row r="179" spans="3:14" x14ac:dyDescent="0.3">
      <c r="C179" s="2"/>
    </row>
    <row r="180" spans="3:14" x14ac:dyDescent="0.3">
      <c r="C180" s="2"/>
    </row>
    <row r="181" spans="3:14" ht="31.2" x14ac:dyDescent="0.6">
      <c r="C181" s="214" t="str">
        <f>'HISTORICAL FS'!C107</f>
        <v>BALANCE SHEET</v>
      </c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</row>
    <row r="182" spans="3:14" x14ac:dyDescent="0.3">
      <c r="C182" s="2"/>
    </row>
    <row r="183" spans="3:14" x14ac:dyDescent="0.3">
      <c r="C183" s="2"/>
    </row>
    <row r="184" spans="3:14" x14ac:dyDescent="0.3">
      <c r="C184" s="2"/>
    </row>
    <row r="185" spans="3:14" x14ac:dyDescent="0.3">
      <c r="C185" s="2" t="str">
        <f>'HISTORICAL FS'!C111</f>
        <v>NON-CURRENT ASSETS</v>
      </c>
    </row>
    <row r="186" spans="3:14" x14ac:dyDescent="0.3">
      <c r="C186" t="str">
        <f>'HISTORICAL FS'!C112</f>
        <v xml:space="preserve">Property Plant &amp; Equipment </v>
      </c>
      <c r="E186">
        <f>'HISTORICAL FS'!E112</f>
        <v>601.1</v>
      </c>
      <c r="F186">
        <f>'HISTORICAL FS'!F112</f>
        <v>644.79999999999995</v>
      </c>
      <c r="G186">
        <f>'HISTORICAL FS'!G112</f>
        <v>687.5</v>
      </c>
      <c r="H186">
        <f>'HISTORICAL FS'!H112</f>
        <v>686.4</v>
      </c>
      <c r="I186">
        <f>'HISTORICAL FS'!I112</f>
        <v>667.7</v>
      </c>
      <c r="J186" s="99">
        <f>J368</f>
        <v>805.97482530485331</v>
      </c>
      <c r="K186" s="99">
        <f t="shared" ref="K186:N186" si="150">K368</f>
        <v>921.74267379496348</v>
      </c>
      <c r="L186" s="99">
        <f t="shared" si="150"/>
        <v>1018.6670034007424</v>
      </c>
      <c r="M186" s="99">
        <f t="shared" si="150"/>
        <v>1099.8149714424237</v>
      </c>
      <c r="N186" s="99">
        <f t="shared" si="150"/>
        <v>1250.0732526189636</v>
      </c>
    </row>
    <row r="187" spans="3:14" x14ac:dyDescent="0.3">
      <c r="C187" t="str">
        <f>'HISTORICAL FS'!C113</f>
        <v>Intangible Assets</v>
      </c>
      <c r="E187">
        <f>'HISTORICAL FS'!E113</f>
        <v>79.3</v>
      </c>
      <c r="F187">
        <f>'HISTORICAL FS'!F113</f>
        <v>137.1</v>
      </c>
      <c r="G187">
        <f>'HISTORICAL FS'!G113</f>
        <v>757.2</v>
      </c>
      <c r="H187">
        <f>'HISTORICAL FS'!H113</f>
        <v>735.4</v>
      </c>
      <c r="I187">
        <f>'HISTORICAL FS'!I113</f>
        <v>713.7</v>
      </c>
      <c r="J187" s="99">
        <f>J341</f>
        <v>705.53739239523645</v>
      </c>
      <c r="K187" s="99">
        <f t="shared" ref="K187:N187" si="151">K341</f>
        <v>698.07480339633798</v>
      </c>
      <c r="L187" s="99">
        <f t="shared" si="151"/>
        <v>691.25219997559043</v>
      </c>
      <c r="M187" s="99">
        <f t="shared" si="151"/>
        <v>685.01469748903151</v>
      </c>
      <c r="N187" s="99">
        <f t="shared" si="151"/>
        <v>696.99335994549983</v>
      </c>
    </row>
    <row r="188" spans="3:14" x14ac:dyDescent="0.3">
      <c r="C188" t="str">
        <f>'HISTORICAL FS'!C114</f>
        <v xml:space="preserve">Right-of-Use Assets </v>
      </c>
      <c r="E188">
        <f>'HISTORICAL FS'!E114</f>
        <v>639.1</v>
      </c>
      <c r="F188">
        <f>'HISTORICAL FS'!F114</f>
        <v>662</v>
      </c>
      <c r="G188">
        <f>'HISTORICAL FS'!G114</f>
        <v>734.6</v>
      </c>
      <c r="H188">
        <f>'HISTORICAL FS'!H114</f>
        <v>737.3</v>
      </c>
      <c r="I188">
        <f>'HISTORICAL FS'!I114</f>
        <v>733.1</v>
      </c>
      <c r="J188" s="99">
        <f>J377</f>
        <v>713.20681325477403</v>
      </c>
      <c r="K188" s="99">
        <f t="shared" ref="K188:N188" si="152">K377</f>
        <v>705.84064603961838</v>
      </c>
      <c r="L188" s="99">
        <f t="shared" si="152"/>
        <v>711.19470930641648</v>
      </c>
      <c r="M188" s="99">
        <f t="shared" si="152"/>
        <v>725.91181032532222</v>
      </c>
      <c r="N188" s="99">
        <f t="shared" si="152"/>
        <v>748.20410787063486</v>
      </c>
    </row>
    <row r="189" spans="3:14" x14ac:dyDescent="0.3">
      <c r="C189" t="str">
        <f>'HISTORICAL FS'!C115</f>
        <v>Associates, joint ventures and other investments</v>
      </c>
      <c r="E189">
        <f>'HISTORICAL FS'!E115</f>
        <v>46.2</v>
      </c>
      <c r="F189">
        <f>'HISTORICAL FS'!F115</f>
        <v>114.6</v>
      </c>
      <c r="G189">
        <f>'HISTORICAL FS'!G115</f>
        <v>38</v>
      </c>
      <c r="H189">
        <f>'HISTORICAL FS'!H115</f>
        <v>32.700000000000003</v>
      </c>
      <c r="I189">
        <f>'HISTORICAL FS'!I115</f>
        <v>35.200000000000003</v>
      </c>
      <c r="J189" s="99">
        <f>J391</f>
        <v>40.999742325626315</v>
      </c>
      <c r="K189" s="99">
        <f t="shared" ref="K189:N189" si="153">K391</f>
        <v>47.755081555902095</v>
      </c>
      <c r="L189" s="99">
        <f t="shared" si="153"/>
        <v>55.623467003728848</v>
      </c>
      <c r="M189" s="99">
        <f t="shared" si="153"/>
        <v>64.788290182126701</v>
      </c>
      <c r="N189" s="99">
        <f t="shared" si="153"/>
        <v>75.463159181394872</v>
      </c>
    </row>
    <row r="190" spans="3:14" x14ac:dyDescent="0.3">
      <c r="C190" t="str">
        <f>'HISTORICAL FS'!C116</f>
        <v>Defined benefit pension Asset</v>
      </c>
      <c r="E190">
        <f>'HISTORICAL FS'!E116</f>
        <v>156.9</v>
      </c>
      <c r="F190">
        <f>'HISTORICAL FS'!F116</f>
        <v>157.5</v>
      </c>
      <c r="G190">
        <f>'HISTORICAL FS'!G116</f>
        <v>59.3</v>
      </c>
      <c r="H190">
        <f>'HISTORICAL FS'!H116</f>
        <v>30.8</v>
      </c>
      <c r="I190">
        <f>'HISTORICAL FS'!I116</f>
        <v>23</v>
      </c>
      <c r="J190" s="99">
        <f>I190</f>
        <v>23</v>
      </c>
      <c r="K190" s="99">
        <f t="shared" ref="K190:N190" si="154">J190</f>
        <v>23</v>
      </c>
      <c r="L190" s="99">
        <f t="shared" si="154"/>
        <v>23</v>
      </c>
      <c r="M190" s="99">
        <f t="shared" si="154"/>
        <v>23</v>
      </c>
      <c r="N190" s="99">
        <f t="shared" si="154"/>
        <v>23</v>
      </c>
    </row>
    <row r="191" spans="3:14" x14ac:dyDescent="0.3">
      <c r="C191" t="str">
        <f>'HISTORICAL FS'!C117</f>
        <v>other financial Assets</v>
      </c>
      <c r="E191">
        <f>'HISTORICAL FS'!E117</f>
        <v>18</v>
      </c>
      <c r="I191">
        <f>'HISTORICAL FS'!I117</f>
        <v>0.2</v>
      </c>
      <c r="J191" s="99">
        <f>I191</f>
        <v>0.2</v>
      </c>
      <c r="K191" s="99">
        <f>J191</f>
        <v>0.2</v>
      </c>
      <c r="L191" s="99">
        <f t="shared" ref="L191:N191" si="155">K191</f>
        <v>0.2</v>
      </c>
      <c r="M191" s="99">
        <f t="shared" si="155"/>
        <v>0.2</v>
      </c>
      <c r="N191" s="99">
        <f t="shared" si="155"/>
        <v>0.2</v>
      </c>
    </row>
    <row r="192" spans="3:14" x14ac:dyDescent="0.3">
      <c r="C192" t="str">
        <f>'HISTORICAL FS'!C118</f>
        <v>Deferred Tax Assets</v>
      </c>
      <c r="E192">
        <f>'HISTORICAL FS'!E118</f>
        <v>34</v>
      </c>
      <c r="F192">
        <f>'HISTORICAL FS'!F118</f>
        <v>33.299999999999997</v>
      </c>
      <c r="J192" s="99">
        <v>0</v>
      </c>
      <c r="K192" s="99">
        <f>J192</f>
        <v>0</v>
      </c>
      <c r="L192" s="99">
        <f t="shared" ref="L192:N192" si="156">K192</f>
        <v>0</v>
      </c>
      <c r="M192" s="99">
        <f t="shared" si="156"/>
        <v>0</v>
      </c>
      <c r="N192" s="99">
        <f t="shared" si="156"/>
        <v>0</v>
      </c>
    </row>
    <row r="193" spans="3:14" x14ac:dyDescent="0.3">
      <c r="C193" s="2" t="str">
        <f>'HISTORICAL FS'!C119</f>
        <v>TOTAL NON-CURRENT ASSETS</v>
      </c>
      <c r="E193" s="47">
        <f t="shared" ref="E193:N193" si="157">SUM(E186:E192)</f>
        <v>1574.6000000000001</v>
      </c>
      <c r="F193" s="47">
        <f t="shared" si="157"/>
        <v>1749.3</v>
      </c>
      <c r="G193" s="47">
        <f t="shared" si="157"/>
        <v>2276.6000000000004</v>
      </c>
      <c r="H193" s="47">
        <f t="shared" si="157"/>
        <v>2222.6</v>
      </c>
      <c r="I193" s="47">
        <f t="shared" si="157"/>
        <v>2172.8999999999996</v>
      </c>
      <c r="J193" s="111">
        <f t="shared" si="157"/>
        <v>2288.9187732804903</v>
      </c>
      <c r="K193" s="111">
        <f t="shared" si="157"/>
        <v>2396.6132047868218</v>
      </c>
      <c r="L193" s="111">
        <f t="shared" si="157"/>
        <v>2499.9373796864779</v>
      </c>
      <c r="M193" s="111">
        <f t="shared" si="157"/>
        <v>2598.729769438904</v>
      </c>
      <c r="N193" s="111">
        <f t="shared" si="157"/>
        <v>2793.933879616493</v>
      </c>
    </row>
    <row r="194" spans="3:14" x14ac:dyDescent="0.3">
      <c r="C194" s="2"/>
      <c r="J194" s="99"/>
      <c r="K194" s="99"/>
      <c r="L194" s="99"/>
      <c r="M194" s="99"/>
      <c r="N194" s="99"/>
    </row>
    <row r="195" spans="3:14" x14ac:dyDescent="0.3">
      <c r="C195" s="2"/>
      <c r="J195" s="99"/>
      <c r="K195" s="99"/>
      <c r="L195" s="99"/>
      <c r="M195" s="99"/>
      <c r="N195" s="99"/>
    </row>
    <row r="196" spans="3:14" x14ac:dyDescent="0.3">
      <c r="C196" s="2" t="str">
        <f>'HISTORICAL FS'!C122</f>
        <v>CURRENT ASSETS</v>
      </c>
      <c r="J196" s="99"/>
      <c r="K196" s="99"/>
      <c r="L196" s="99"/>
      <c r="M196" s="99"/>
      <c r="N196" s="99"/>
    </row>
    <row r="197" spans="3:14" x14ac:dyDescent="0.3">
      <c r="C197" t="str">
        <f>'HISTORICAL FS'!C123</f>
        <v>Inventories</v>
      </c>
      <c r="E197">
        <f>'HISTORICAL FS'!E123</f>
        <v>633</v>
      </c>
      <c r="F197">
        <f>'HISTORICAL FS'!F123</f>
        <v>662.2</v>
      </c>
      <c r="G197">
        <f>'HISTORICAL FS'!G123</f>
        <v>769</v>
      </c>
      <c r="H197">
        <f>'HISTORICAL FS'!H123</f>
        <v>865.2</v>
      </c>
      <c r="I197">
        <f>'HISTORICAL FS'!I123</f>
        <v>949.5</v>
      </c>
      <c r="J197" s="99">
        <f>J261</f>
        <v>1112.8038290852685</v>
      </c>
      <c r="K197" s="99">
        <f t="shared" ref="K197:N197" si="158">K261</f>
        <v>1169.8842431999201</v>
      </c>
      <c r="L197" s="99">
        <f t="shared" si="158"/>
        <v>1224.2154207247054</v>
      </c>
      <c r="M197" s="99">
        <f t="shared" si="158"/>
        <v>1373.5509633739725</v>
      </c>
      <c r="N197" s="99">
        <f t="shared" si="158"/>
        <v>1466.5356591687655</v>
      </c>
    </row>
    <row r="198" spans="3:14" x14ac:dyDescent="0.3">
      <c r="C198" t="str">
        <f>'HISTORICAL FS'!C124</f>
        <v>Customer &amp; Other Receivables</v>
      </c>
      <c r="E198">
        <f>'HISTORICAL FS'!E124</f>
        <v>1280.9000000000001</v>
      </c>
      <c r="F198">
        <f>'HISTORICAL FS'!F124</f>
        <v>1425.5</v>
      </c>
      <c r="G198">
        <f>'HISTORICAL FS'!G124</f>
        <v>1452.8</v>
      </c>
      <c r="H198">
        <f>'HISTORICAL FS'!H124</f>
        <v>1508.4</v>
      </c>
      <c r="I198">
        <f>'HISTORICAL FS'!I124</f>
        <v>1660.6</v>
      </c>
      <c r="J198" s="99">
        <f>J262</f>
        <v>1563.731128040009</v>
      </c>
      <c r="K198" s="99">
        <f t="shared" ref="K198:N198" si="159">K262</f>
        <v>1729.3267560060983</v>
      </c>
      <c r="L198" s="99">
        <f t="shared" si="159"/>
        <v>1954.0438720953707</v>
      </c>
      <c r="M198" s="99">
        <f t="shared" si="159"/>
        <v>2166.8792057333621</v>
      </c>
      <c r="N198" s="99">
        <f t="shared" si="159"/>
        <v>2341.4156504705684</v>
      </c>
    </row>
    <row r="199" spans="3:14" x14ac:dyDescent="0.3">
      <c r="C199" t="str">
        <f>'HISTORICAL FS'!C125</f>
        <v>Right of return Asset</v>
      </c>
      <c r="E199">
        <f>'HISTORICAL FS'!E125</f>
        <v>24.8</v>
      </c>
      <c r="F199">
        <f>'HISTORICAL FS'!F125</f>
        <v>32.700000000000003</v>
      </c>
      <c r="G199">
        <f>'HISTORICAL FS'!G125</f>
        <v>30.7</v>
      </c>
      <c r="H199">
        <f>'HISTORICAL FS'!H125</f>
        <v>34.799999999999997</v>
      </c>
      <c r="I199">
        <f>'HISTORICAL FS'!I125</f>
        <v>29.7</v>
      </c>
      <c r="J199" s="99">
        <f>J263</f>
        <v>44.508342515527147</v>
      </c>
      <c r="K199" s="99">
        <f t="shared" ref="K199:N199" si="160">K263</f>
        <v>46.791363615869145</v>
      </c>
      <c r="L199" s="99">
        <f t="shared" si="160"/>
        <v>48.96442466700951</v>
      </c>
      <c r="M199" s="99">
        <f t="shared" si="160"/>
        <v>54.937334993386891</v>
      </c>
      <c r="N199" s="99">
        <f t="shared" si="160"/>
        <v>58.656404411523866</v>
      </c>
    </row>
    <row r="200" spans="3:14" x14ac:dyDescent="0.3">
      <c r="C200" t="str">
        <f>'HISTORICAL FS'!C126</f>
        <v>other financial Assets</v>
      </c>
      <c r="E200">
        <f>'HISTORICAL FS'!E126</f>
        <v>35.5</v>
      </c>
      <c r="F200">
        <f>'HISTORICAL FS'!F126</f>
        <v>9.1</v>
      </c>
      <c r="G200">
        <f>'HISTORICAL FS'!G126</f>
        <v>6.9</v>
      </c>
      <c r="H200">
        <f>'HISTORICAL FS'!H126</f>
        <v>31.8</v>
      </c>
      <c r="I200">
        <f>'HISTORICAL FS'!I126</f>
        <v>6.4</v>
      </c>
      <c r="J200" s="99">
        <f>I200</f>
        <v>6.4</v>
      </c>
      <c r="K200" s="99">
        <f>J200</f>
        <v>6.4</v>
      </c>
      <c r="L200" s="99">
        <f t="shared" ref="L200:N200" si="161">K200</f>
        <v>6.4</v>
      </c>
      <c r="M200" s="99">
        <f t="shared" si="161"/>
        <v>6.4</v>
      </c>
      <c r="N200" s="99">
        <f t="shared" si="161"/>
        <v>6.4</v>
      </c>
    </row>
    <row r="201" spans="3:14" x14ac:dyDescent="0.3">
      <c r="C201" t="str">
        <f>'HISTORICAL FS'!C127</f>
        <v>current  tax assets</v>
      </c>
      <c r="H201">
        <f>'HISTORICAL FS'!H127</f>
        <v>9.3000000000000007</v>
      </c>
      <c r="J201" s="99">
        <v>0</v>
      </c>
      <c r="K201" s="99">
        <f>J201</f>
        <v>0</v>
      </c>
      <c r="L201" s="99">
        <f t="shared" ref="L201:N201" si="162">K201</f>
        <v>0</v>
      </c>
      <c r="M201" s="99">
        <f t="shared" si="162"/>
        <v>0</v>
      </c>
      <c r="N201" s="99">
        <f t="shared" si="162"/>
        <v>0</v>
      </c>
    </row>
    <row r="202" spans="3:14" x14ac:dyDescent="0.3">
      <c r="C202" t="str">
        <f>'HISTORICAL FS'!C128</f>
        <v>cash and short term deposits</v>
      </c>
      <c r="E202">
        <f>'HISTORICAL FS'!E128</f>
        <v>433</v>
      </c>
      <c r="F202">
        <f>'HISTORICAL FS'!F128</f>
        <v>105</v>
      </c>
      <c r="G202">
        <f>'HISTORICAL FS'!G128</f>
        <v>188.3</v>
      </c>
      <c r="H202">
        <f>'HISTORICAL FS'!H128</f>
        <v>200.4</v>
      </c>
      <c r="I202">
        <f>'HISTORICAL FS'!I128</f>
        <v>96.2</v>
      </c>
      <c r="J202" s="99">
        <f>J587</f>
        <v>108.75703999999998</v>
      </c>
      <c r="K202" s="99">
        <f>K587</f>
        <v>213.50655975414099</v>
      </c>
      <c r="L202" s="99">
        <f>L587</f>
        <v>243.86905135488212</v>
      </c>
      <c r="M202" s="99">
        <f>M587</f>
        <v>534.53479212255513</v>
      </c>
      <c r="N202" s="99">
        <f>N587</f>
        <v>762.31045908089925</v>
      </c>
    </row>
    <row r="203" spans="3:14" x14ac:dyDescent="0.3">
      <c r="C203" s="2" t="str">
        <f>'HISTORICAL FS'!C129</f>
        <v>TOTAL CURRENT ASSETS</v>
      </c>
      <c r="E203" s="47">
        <f t="shared" ref="E203:H203" si="163">SUM(E197:E202)</f>
        <v>2407.1999999999998</v>
      </c>
      <c r="F203" s="47">
        <f t="shared" si="163"/>
        <v>2234.4999999999995</v>
      </c>
      <c r="G203" s="47">
        <f t="shared" si="163"/>
        <v>2447.7000000000003</v>
      </c>
      <c r="H203" s="47">
        <f t="shared" si="163"/>
        <v>2649.900000000001</v>
      </c>
      <c r="I203" s="47">
        <f>SUM(I197:I202)</f>
        <v>2742.3999999999996</v>
      </c>
      <c r="J203" s="111">
        <f t="shared" ref="J203:N203" si="164">SUM(J197:J202)</f>
        <v>2836.2003396408045</v>
      </c>
      <c r="K203" s="111">
        <f t="shared" si="164"/>
        <v>3165.908922576029</v>
      </c>
      <c r="L203" s="111">
        <f t="shared" si="164"/>
        <v>3477.492768841968</v>
      </c>
      <c r="M203" s="111">
        <f t="shared" si="164"/>
        <v>4136.3022962232762</v>
      </c>
      <c r="N203" s="111">
        <f t="shared" si="164"/>
        <v>4635.3181731317572</v>
      </c>
    </row>
    <row r="204" spans="3:14" x14ac:dyDescent="0.3">
      <c r="C204" s="2"/>
      <c r="J204" s="99"/>
      <c r="K204" s="99"/>
      <c r="L204" s="99"/>
      <c r="M204" s="99"/>
      <c r="N204" s="99"/>
    </row>
    <row r="205" spans="3:14" x14ac:dyDescent="0.3">
      <c r="C205" s="2" t="str">
        <f>'HISTORICAL FS'!C131</f>
        <v>Total Assets</v>
      </c>
      <c r="E205" s="2">
        <f>E193+E203</f>
        <v>3981.8</v>
      </c>
      <c r="F205" s="2">
        <f t="shared" ref="F205:N205" si="165">F193+F203</f>
        <v>3983.7999999999993</v>
      </c>
      <c r="G205" s="2">
        <f t="shared" si="165"/>
        <v>4724.3000000000011</v>
      </c>
      <c r="H205" s="2">
        <f t="shared" si="165"/>
        <v>4872.5000000000009</v>
      </c>
      <c r="I205" s="2">
        <f t="shared" si="165"/>
        <v>4915.2999999999993</v>
      </c>
      <c r="J205" s="126">
        <f t="shared" si="165"/>
        <v>5125.1191129212948</v>
      </c>
      <c r="K205" s="126">
        <f t="shared" si="165"/>
        <v>5562.5221273628504</v>
      </c>
      <c r="L205" s="126">
        <f t="shared" si="165"/>
        <v>5977.4301485284459</v>
      </c>
      <c r="M205" s="126">
        <f t="shared" si="165"/>
        <v>6735.0320656621807</v>
      </c>
      <c r="N205" s="126">
        <f t="shared" si="165"/>
        <v>7429.2520527482502</v>
      </c>
    </row>
    <row r="206" spans="3:14" x14ac:dyDescent="0.3">
      <c r="C206" s="2"/>
      <c r="J206" s="99"/>
      <c r="K206" s="99"/>
      <c r="L206" s="99"/>
      <c r="M206" s="99"/>
      <c r="N206" s="99"/>
    </row>
    <row r="207" spans="3:14" x14ac:dyDescent="0.3">
      <c r="C207" s="2" t="str">
        <f>'HISTORICAL FS'!C133</f>
        <v>CURRENT LIABILITIES</v>
      </c>
      <c r="J207" s="99"/>
      <c r="K207" s="99"/>
      <c r="L207" s="99"/>
      <c r="M207" s="99"/>
      <c r="N207" s="99"/>
    </row>
    <row r="208" spans="3:14" x14ac:dyDescent="0.3">
      <c r="C208" t="str">
        <f>'HISTORICAL FS'!C134</f>
        <v>Bank loans and overdrafts</v>
      </c>
      <c r="E208">
        <f>'HISTORICAL FS'!E134</f>
        <v>233.1</v>
      </c>
      <c r="F208">
        <f>'HISTORICAL FS'!F134</f>
        <v>102.3</v>
      </c>
      <c r="G208">
        <f>'HISTORICAL FS'!G134</f>
        <v>58.7</v>
      </c>
      <c r="H208">
        <f>'HISTORICAL FS'!H134</f>
        <v>60.6</v>
      </c>
      <c r="I208">
        <f>'HISTORICAL FS'!I134</f>
        <v>96</v>
      </c>
      <c r="J208" s="99">
        <f>J582</f>
        <v>90.577040145499453</v>
      </c>
      <c r="K208" s="99">
        <f>K582</f>
        <v>36</v>
      </c>
      <c r="L208" s="99">
        <f>L582</f>
        <v>36</v>
      </c>
      <c r="M208" s="99">
        <f>M582</f>
        <v>36</v>
      </c>
      <c r="N208" s="99">
        <f>N582</f>
        <v>36</v>
      </c>
    </row>
    <row r="209" spans="3:14" x14ac:dyDescent="0.3">
      <c r="C209" t="str">
        <f>'HISTORICAL FS'!C135</f>
        <v>Corporate bonds</v>
      </c>
      <c r="H209">
        <f>'HISTORICAL FS'!H135</f>
        <v>250</v>
      </c>
      <c r="I209">
        <f>'HISTORICAL FS'!I135</f>
        <v>112.9</v>
      </c>
      <c r="J209" s="99">
        <f>J692</f>
        <v>0</v>
      </c>
      <c r="K209" s="99">
        <f>K692</f>
        <v>300</v>
      </c>
      <c r="L209" s="99">
        <f>L692</f>
        <v>0</v>
      </c>
      <c r="M209" s="99">
        <f>M692</f>
        <v>0</v>
      </c>
      <c r="N209" s="99">
        <f>N692</f>
        <v>300</v>
      </c>
    </row>
    <row r="210" spans="3:14" x14ac:dyDescent="0.3">
      <c r="C210" t="str">
        <f>'HISTORICAL FS'!C136</f>
        <v>Trade Payables  &amp; Other Liabilities</v>
      </c>
      <c r="E210">
        <f>'HISTORICAL FS'!E136</f>
        <v>798.4</v>
      </c>
      <c r="F210">
        <f>'HISTORICAL FS'!F136</f>
        <v>791.1</v>
      </c>
      <c r="G210">
        <f>'HISTORICAL FS'!G136</f>
        <v>991.8</v>
      </c>
      <c r="H210">
        <f>'HISTORICAL FS'!H136</f>
        <v>1076.7</v>
      </c>
      <c r="I210">
        <f>'HISTORICAL FS'!I136</f>
        <v>1132.4000000000001</v>
      </c>
      <c r="J210" s="99">
        <f>J267</f>
        <v>1256.5481098230068</v>
      </c>
      <c r="K210" s="99">
        <f t="shared" ref="K210:N210" si="166">K267</f>
        <v>1382.0345842803595</v>
      </c>
      <c r="L210" s="99">
        <f t="shared" si="166"/>
        <v>1512.609535891394</v>
      </c>
      <c r="M210" s="99">
        <f t="shared" si="166"/>
        <v>1687.2838477042201</v>
      </c>
      <c r="N210" s="99">
        <f t="shared" si="166"/>
        <v>1694.0634668441546</v>
      </c>
    </row>
    <row r="211" spans="3:14" x14ac:dyDescent="0.3">
      <c r="C211" t="str">
        <f>'HISTORICAL FS'!C137</f>
        <v>Lease liabilities</v>
      </c>
      <c r="E211">
        <f>'HISTORICAL FS'!E137</f>
        <v>162.6</v>
      </c>
      <c r="F211">
        <f>'HISTORICAL FS'!F137</f>
        <v>146.19999999999999</v>
      </c>
      <c r="G211">
        <f>'HISTORICAL FS'!G137</f>
        <v>167.8</v>
      </c>
      <c r="H211">
        <f>'HISTORICAL FS'!H137</f>
        <v>170.8</v>
      </c>
      <c r="I211">
        <f>'HISTORICAL FS'!I137</f>
        <v>168.1</v>
      </c>
      <c r="J211" s="99">
        <f>J747</f>
        <v>159.6312225725564</v>
      </c>
      <c r="K211" s="99">
        <f>K747</f>
        <v>152.17612269481702</v>
      </c>
      <c r="L211" s="99">
        <f>L747</f>
        <v>146.21843053870612</v>
      </c>
      <c r="M211" s="99">
        <f>M747</f>
        <v>141.67755048528767</v>
      </c>
      <c r="N211" s="99">
        <f>N747</f>
        <v>138.62628825416641</v>
      </c>
    </row>
    <row r="212" spans="3:14" x14ac:dyDescent="0.3">
      <c r="C212" t="str">
        <f>'HISTORICAL FS'!C138</f>
        <v>other financial liabailities</v>
      </c>
      <c r="E212">
        <f>'HISTORICAL FS'!E138</f>
        <v>1</v>
      </c>
      <c r="F212">
        <f>'HISTORICAL FS'!F138</f>
        <v>40.799999999999997</v>
      </c>
      <c r="G212">
        <f>'HISTORICAL FS'!G138</f>
        <v>18.8</v>
      </c>
      <c r="H212">
        <f>'HISTORICAL FS'!H138</f>
        <v>8.3000000000000007</v>
      </c>
      <c r="I212">
        <f>'HISTORICAL FS'!I138</f>
        <v>35.5</v>
      </c>
      <c r="J212" s="99">
        <f>I212</f>
        <v>35.5</v>
      </c>
      <c r="K212" s="99">
        <f t="shared" ref="K212:N213" si="167">J212</f>
        <v>35.5</v>
      </c>
      <c r="L212" s="99">
        <f t="shared" si="167"/>
        <v>35.5</v>
      </c>
      <c r="M212" s="99">
        <f t="shared" si="167"/>
        <v>35.5</v>
      </c>
      <c r="N212" s="99">
        <f t="shared" si="167"/>
        <v>35.5</v>
      </c>
    </row>
    <row r="213" spans="3:14" x14ac:dyDescent="0.3">
      <c r="C213" t="str">
        <f>'HISTORICAL FS'!C139</f>
        <v>Current Tax Liabilities</v>
      </c>
      <c r="E213">
        <f>'HISTORICAL FS'!E139</f>
        <v>13</v>
      </c>
      <c r="F213">
        <f>'HISTORICAL FS'!F139</f>
        <v>12.9</v>
      </c>
      <c r="G213">
        <f>'HISTORICAL FS'!G139</f>
        <v>8.6</v>
      </c>
      <c r="I213">
        <f>'HISTORICAL FS'!I139</f>
        <v>9.1999999999999993</v>
      </c>
      <c r="J213" s="99">
        <f>I213</f>
        <v>9.1999999999999993</v>
      </c>
      <c r="K213" s="99">
        <f t="shared" si="167"/>
        <v>9.1999999999999993</v>
      </c>
      <c r="L213" s="99">
        <f t="shared" si="167"/>
        <v>9.1999999999999993</v>
      </c>
      <c r="M213" s="99">
        <f t="shared" si="167"/>
        <v>9.1999999999999993</v>
      </c>
      <c r="N213" s="99">
        <f t="shared" si="167"/>
        <v>9.1999999999999993</v>
      </c>
    </row>
    <row r="214" spans="3:14" x14ac:dyDescent="0.3">
      <c r="C214" s="2" t="str">
        <f>'HISTORICAL FS'!C140</f>
        <v>TOTAL CURRENT LIABILITIES</v>
      </c>
      <c r="E214" s="47">
        <f t="shared" ref="E214:H214" si="168">SUM(E208:E213)</f>
        <v>1208.0999999999999</v>
      </c>
      <c r="F214" s="47">
        <f t="shared" si="168"/>
        <v>1093.3</v>
      </c>
      <c r="G214" s="47">
        <f t="shared" si="168"/>
        <v>1245.6999999999998</v>
      </c>
      <c r="H214" s="47">
        <f t="shared" si="168"/>
        <v>1566.4</v>
      </c>
      <c r="I214" s="47">
        <f>SUM(I208:I213)</f>
        <v>1554.1000000000001</v>
      </c>
      <c r="J214" s="111">
        <f t="shared" ref="J214:N214" si="169">SUM(J208:J213)</f>
        <v>1551.4563725410628</v>
      </c>
      <c r="K214" s="111">
        <f t="shared" si="169"/>
        <v>1914.9107069751765</v>
      </c>
      <c r="L214" s="111">
        <f t="shared" si="169"/>
        <v>1739.5279664301002</v>
      </c>
      <c r="M214" s="111">
        <f t="shared" si="169"/>
        <v>1909.6613981895077</v>
      </c>
      <c r="N214" s="111">
        <f t="shared" si="169"/>
        <v>2213.3897550983211</v>
      </c>
    </row>
    <row r="215" spans="3:14" x14ac:dyDescent="0.3">
      <c r="C215" s="2"/>
      <c r="J215" s="99"/>
      <c r="K215" s="99"/>
      <c r="L215" s="99"/>
      <c r="M215" s="99"/>
      <c r="N215" s="99"/>
    </row>
    <row r="216" spans="3:14" x14ac:dyDescent="0.3">
      <c r="C216" s="2"/>
      <c r="J216" s="99"/>
      <c r="K216" s="99"/>
      <c r="L216" s="99"/>
      <c r="M216" s="99"/>
      <c r="N216" s="99"/>
    </row>
    <row r="217" spans="3:14" x14ac:dyDescent="0.3">
      <c r="C217" s="2" t="str">
        <f>'HISTORICAL FS'!C143</f>
        <v>NON-CURRENT LIABILITIES</v>
      </c>
      <c r="J217" s="99"/>
      <c r="K217" s="99"/>
      <c r="L217" s="99"/>
      <c r="M217" s="99"/>
      <c r="N217" s="99"/>
    </row>
    <row r="218" spans="3:14" x14ac:dyDescent="0.3">
      <c r="C218" t="str">
        <f>'HISTORICAL FS'!C144</f>
        <v>Bank loans and overdraft</v>
      </c>
      <c r="G218">
        <f>'HISTORICAL FS'!G144</f>
        <v>29.5</v>
      </c>
      <c r="H218">
        <v>0</v>
      </c>
      <c r="I218">
        <f>H218</f>
        <v>0</v>
      </c>
      <c r="J218" s="99">
        <f t="shared" ref="J218:N218" si="170">I218</f>
        <v>0</v>
      </c>
      <c r="K218" s="99">
        <f t="shared" si="170"/>
        <v>0</v>
      </c>
      <c r="L218" s="99">
        <f t="shared" si="170"/>
        <v>0</v>
      </c>
      <c r="M218" s="99">
        <f t="shared" si="170"/>
        <v>0</v>
      </c>
      <c r="N218" s="99">
        <f t="shared" si="170"/>
        <v>0</v>
      </c>
    </row>
    <row r="219" spans="3:14" x14ac:dyDescent="0.3">
      <c r="C219" t="str">
        <f>'HISTORICAL FS'!C145</f>
        <v>Corporate bonds</v>
      </c>
      <c r="E219">
        <f>'HISTORICAL FS'!E145</f>
        <v>815.7</v>
      </c>
      <c r="F219">
        <f>'HISTORICAL FS'!F145</f>
        <v>790.7</v>
      </c>
      <c r="G219">
        <f>'HISTORICAL FS'!G145</f>
        <v>790.8</v>
      </c>
      <c r="H219">
        <f>'HISTORICAL FS'!H145</f>
        <v>543.79999999999995</v>
      </c>
      <c r="I219">
        <f>'HISTORICAL FS'!I145</f>
        <v>600</v>
      </c>
      <c r="J219" s="99">
        <f>J693</f>
        <v>600</v>
      </c>
      <c r="K219" s="99">
        <f>K693</f>
        <v>300</v>
      </c>
      <c r="L219" s="99">
        <f>L693</f>
        <v>300</v>
      </c>
      <c r="M219" s="99">
        <f>M693</f>
        <v>300</v>
      </c>
      <c r="N219" s="99">
        <f>N693</f>
        <v>0</v>
      </c>
    </row>
    <row r="220" spans="3:14" x14ac:dyDescent="0.3">
      <c r="C220" t="str">
        <f>'HISTORICAL FS'!C146</f>
        <v>provisions</v>
      </c>
      <c r="E220">
        <f>'HISTORICAL FS'!E146</f>
        <v>21.9</v>
      </c>
      <c r="F220">
        <f>'HISTORICAL FS'!F146</f>
        <v>33.799999999999997</v>
      </c>
      <c r="G220">
        <f>'HISTORICAL FS'!G146</f>
        <v>52.4</v>
      </c>
      <c r="H220">
        <f>'HISTORICAL FS'!H146</f>
        <v>55.7</v>
      </c>
      <c r="I220">
        <f>'HISTORICAL FS'!I146</f>
        <v>58.5</v>
      </c>
      <c r="J220" s="99">
        <f>J740</f>
        <v>63.6067974350904</v>
      </c>
      <c r="K220" s="99">
        <f>K740</f>
        <v>68.810213507833538</v>
      </c>
      <c r="L220" s="99">
        <f>L740</f>
        <v>74.112076205585566</v>
      </c>
      <c r="M220" s="99">
        <f>M740</f>
        <v>79.514248100518344</v>
      </c>
      <c r="N220" s="99">
        <f>N740</f>
        <v>85.018627003950769</v>
      </c>
    </row>
    <row r="221" spans="3:14" x14ac:dyDescent="0.3">
      <c r="C221" t="str">
        <f>'HISTORICAL FS'!C147</f>
        <v>lease liabilities</v>
      </c>
      <c r="E221">
        <f>'HISTORICAL FS'!E147</f>
        <v>894.9</v>
      </c>
      <c r="F221">
        <f>'HISTORICAL FS'!F147</f>
        <v>877.1</v>
      </c>
      <c r="G221">
        <f>'HISTORICAL FS'!G147</f>
        <v>869.9</v>
      </c>
      <c r="H221">
        <f>'HISTORICAL FS'!H147</f>
        <v>843.6</v>
      </c>
      <c r="I221">
        <f>'HISTORICAL FS'!I147</f>
        <v>831.7</v>
      </c>
      <c r="J221" s="99">
        <f>J748</f>
        <v>789.79945159782972</v>
      </c>
      <c r="K221" s="99">
        <f>K748</f>
        <v>752.91422513551072</v>
      </c>
      <c r="L221" s="99">
        <f>L748</f>
        <v>723.43764829888107</v>
      </c>
      <c r="M221" s="99">
        <f>M748</f>
        <v>700.97096215713134</v>
      </c>
      <c r="N221" s="99">
        <f>N748</f>
        <v>685.87438394402284</v>
      </c>
    </row>
    <row r="222" spans="3:14" x14ac:dyDescent="0.3">
      <c r="C222" t="str">
        <f>'HISTORICAL FS'!C148</f>
        <v>other financial liabailities</v>
      </c>
      <c r="F222">
        <f>'HISTORICAL FS'!F148</f>
        <v>9.5</v>
      </c>
      <c r="G222">
        <f>'HISTORICAL FS'!G148</f>
        <v>37.4</v>
      </c>
      <c r="H222">
        <f>'HISTORICAL FS'!H148</f>
        <v>39.1</v>
      </c>
      <c r="I222">
        <f>'HISTORICAL FS'!I148</f>
        <v>38.200000000000003</v>
      </c>
      <c r="J222" s="99">
        <f>I222</f>
        <v>38.200000000000003</v>
      </c>
      <c r="K222" s="99">
        <f t="shared" ref="K222:N223" si="171">J222</f>
        <v>38.200000000000003</v>
      </c>
      <c r="L222" s="99">
        <f t="shared" si="171"/>
        <v>38.200000000000003</v>
      </c>
      <c r="M222" s="99">
        <f t="shared" si="171"/>
        <v>38.200000000000003</v>
      </c>
      <c r="N222" s="99">
        <f t="shared" si="171"/>
        <v>38.200000000000003</v>
      </c>
    </row>
    <row r="223" spans="3:14" x14ac:dyDescent="0.3">
      <c r="C223" t="str">
        <f>'HISTORICAL FS'!C149</f>
        <v>other liabilities</v>
      </c>
      <c r="E223">
        <f>'HISTORICAL FS'!E149</f>
        <v>31.2</v>
      </c>
      <c r="F223">
        <f>'HISTORICAL FS'!F149</f>
        <v>14.3</v>
      </c>
      <c r="G223">
        <f>'HISTORICAL FS'!G149</f>
        <v>11.7</v>
      </c>
      <c r="H223">
        <f>'HISTORICAL FS'!H149</f>
        <v>11.5</v>
      </c>
      <c r="I223">
        <f>'HISTORICAL FS'!I149</f>
        <v>17.600000000000001</v>
      </c>
      <c r="J223" s="99">
        <f>I223</f>
        <v>17.600000000000001</v>
      </c>
      <c r="K223" s="99">
        <f t="shared" si="171"/>
        <v>17.600000000000001</v>
      </c>
      <c r="L223" s="99">
        <f t="shared" si="171"/>
        <v>17.600000000000001</v>
      </c>
      <c r="M223" s="99">
        <f t="shared" si="171"/>
        <v>17.600000000000001</v>
      </c>
      <c r="N223" s="99">
        <f t="shared" si="171"/>
        <v>17.600000000000001</v>
      </c>
    </row>
    <row r="224" spans="3:14" x14ac:dyDescent="0.3">
      <c r="C224" t="str">
        <f>'HISTORICAL FS'!C150</f>
        <v>Deferred tax liabilities</v>
      </c>
      <c r="G224">
        <f>'HISTORICAL FS'!G150</f>
        <v>48.1</v>
      </c>
      <c r="H224">
        <f>'HISTORICAL FS'!H150</f>
        <v>58.1</v>
      </c>
      <c r="I224">
        <f>'HISTORICAL FS'!I150</f>
        <v>34.700000000000003</v>
      </c>
      <c r="J224" s="99">
        <f>J415</f>
        <v>120.60947933648494</v>
      </c>
      <c r="K224" s="99">
        <f t="shared" ref="K224:N224" si="172">K415</f>
        <v>139.10808255137636</v>
      </c>
      <c r="L224" s="99">
        <f t="shared" si="172"/>
        <v>159.74841026504345</v>
      </c>
      <c r="M224" s="99">
        <f t="shared" si="172"/>
        <v>182.24991393775548</v>
      </c>
      <c r="N224" s="99">
        <f t="shared" si="172"/>
        <v>206.6949050799642</v>
      </c>
    </row>
    <row r="225" spans="3:14" x14ac:dyDescent="0.3">
      <c r="C225" s="2" t="str">
        <f>'HISTORICAL FS'!C151</f>
        <v>TOTAL NON  CURRENT LIABILITIES</v>
      </c>
      <c r="E225" s="47">
        <f t="shared" ref="E225:H225" si="173">SUM(E218:E224)</f>
        <v>1763.7</v>
      </c>
      <c r="F225" s="47">
        <f t="shared" si="173"/>
        <v>1725.3999999999999</v>
      </c>
      <c r="G225" s="47">
        <f t="shared" si="173"/>
        <v>1839.8</v>
      </c>
      <c r="H225" s="47">
        <f t="shared" si="173"/>
        <v>1551.7999999999997</v>
      </c>
      <c r="I225" s="47">
        <f>SUM(I218:I224)</f>
        <v>1580.7</v>
      </c>
      <c r="J225" s="111">
        <f t="shared" ref="J225:N225" si="174">SUM(J218:J224)</f>
        <v>1629.8157283694052</v>
      </c>
      <c r="K225" s="111">
        <f t="shared" si="174"/>
        <v>1316.6325211947205</v>
      </c>
      <c r="L225" s="111">
        <f t="shared" si="174"/>
        <v>1313.0981347695101</v>
      </c>
      <c r="M225" s="111">
        <f t="shared" si="174"/>
        <v>1318.5351241954052</v>
      </c>
      <c r="N225" s="111">
        <f t="shared" si="174"/>
        <v>1033.387916027938</v>
      </c>
    </row>
    <row r="226" spans="3:14" x14ac:dyDescent="0.3">
      <c r="C226" s="2"/>
      <c r="J226" s="99"/>
      <c r="K226" s="99"/>
      <c r="L226" s="99"/>
      <c r="M226" s="99"/>
      <c r="N226" s="99"/>
    </row>
    <row r="227" spans="3:14" x14ac:dyDescent="0.3">
      <c r="C227" s="2" t="str">
        <f>'HISTORICAL FS'!C153</f>
        <v>Total liabilities</v>
      </c>
      <c r="E227" s="2">
        <f>E214+E225</f>
        <v>2971.8</v>
      </c>
      <c r="F227" s="2">
        <f t="shared" ref="F227:N227" si="175">F214+F225</f>
        <v>2818.7</v>
      </c>
      <c r="G227" s="2">
        <f t="shared" si="175"/>
        <v>3085.5</v>
      </c>
      <c r="H227" s="2">
        <f t="shared" si="175"/>
        <v>3118.2</v>
      </c>
      <c r="I227" s="2">
        <f t="shared" si="175"/>
        <v>3134.8</v>
      </c>
      <c r="J227" s="126">
        <f t="shared" si="175"/>
        <v>3181.272100910468</v>
      </c>
      <c r="K227" s="126">
        <f t="shared" si="175"/>
        <v>3231.5432281698968</v>
      </c>
      <c r="L227" s="126">
        <f t="shared" si="175"/>
        <v>3052.6261011996103</v>
      </c>
      <c r="M227" s="126">
        <f t="shared" si="175"/>
        <v>3228.1965223849129</v>
      </c>
      <c r="N227" s="126">
        <f t="shared" si="175"/>
        <v>3246.7776711262591</v>
      </c>
    </row>
    <row r="228" spans="3:14" x14ac:dyDescent="0.3">
      <c r="C228" s="2"/>
      <c r="J228" s="99"/>
      <c r="K228" s="99"/>
      <c r="L228" s="99"/>
      <c r="M228" s="99"/>
      <c r="N228" s="99"/>
    </row>
    <row r="229" spans="3:14" x14ac:dyDescent="0.3">
      <c r="C229" s="2" t="str">
        <f>'HISTORICAL FS'!C155</f>
        <v>Net Assets</v>
      </c>
      <c r="E229" s="2">
        <f>E205-E227</f>
        <v>1010</v>
      </c>
      <c r="F229" s="2">
        <f t="shared" ref="F229:N229" si="176">F205-F227</f>
        <v>1165.0999999999995</v>
      </c>
      <c r="G229" s="2">
        <f t="shared" si="176"/>
        <v>1638.8000000000011</v>
      </c>
      <c r="H229" s="2">
        <f t="shared" si="176"/>
        <v>1754.3000000000011</v>
      </c>
      <c r="I229" s="2">
        <f t="shared" si="176"/>
        <v>1780.4999999999991</v>
      </c>
      <c r="J229" s="126">
        <f t="shared" si="176"/>
        <v>1943.8470120108268</v>
      </c>
      <c r="K229" s="126">
        <f t="shared" si="176"/>
        <v>2330.9788991929536</v>
      </c>
      <c r="L229" s="126">
        <f t="shared" si="176"/>
        <v>2924.8040473288356</v>
      </c>
      <c r="M229" s="126">
        <f t="shared" si="176"/>
        <v>3506.8355432772678</v>
      </c>
      <c r="N229" s="126">
        <f t="shared" si="176"/>
        <v>4182.4743816219907</v>
      </c>
    </row>
    <row r="230" spans="3:14" x14ac:dyDescent="0.3">
      <c r="C230" s="2"/>
      <c r="J230" s="99"/>
      <c r="K230" s="99"/>
      <c r="L230" s="99"/>
      <c r="M230" s="99"/>
      <c r="N230" s="99"/>
    </row>
    <row r="231" spans="3:14" x14ac:dyDescent="0.3">
      <c r="C231" s="2"/>
      <c r="J231" s="99"/>
      <c r="K231" s="99"/>
      <c r="L231" s="99"/>
      <c r="M231" s="99"/>
      <c r="N231" s="99"/>
    </row>
    <row r="232" spans="3:14" x14ac:dyDescent="0.3">
      <c r="C232" s="2" t="str">
        <f>'HISTORICAL FS'!C158</f>
        <v>TOTAL EQUITY</v>
      </c>
      <c r="E232" s="2">
        <f>'HISTORICAL FS'!E158</f>
        <v>1010</v>
      </c>
      <c r="F232" s="2">
        <f>'HISTORICAL FS'!F158</f>
        <v>1165.0999999999999</v>
      </c>
      <c r="G232" s="2">
        <f>'HISTORICAL FS'!G158</f>
        <v>1638.8</v>
      </c>
      <c r="H232" s="2">
        <f>'HISTORICAL FS'!H158</f>
        <v>1754.3</v>
      </c>
      <c r="I232" s="2">
        <f>'HISTORICAL FS'!I158</f>
        <v>1780.5</v>
      </c>
      <c r="J232" s="126">
        <f>J451</f>
        <v>2113.6467754177679</v>
      </c>
      <c r="K232" s="126">
        <f t="shared" ref="K232:N232" si="177">K451</f>
        <v>2436.6966900705343</v>
      </c>
      <c r="L232" s="126">
        <f t="shared" si="177"/>
        <v>2948.5618867482103</v>
      </c>
      <c r="M232" s="126">
        <f t="shared" si="177"/>
        <v>3438.0945409642532</v>
      </c>
      <c r="N232" s="126">
        <f t="shared" si="177"/>
        <v>4008.6533347483191</v>
      </c>
    </row>
    <row r="233" spans="3:14" x14ac:dyDescent="0.3">
      <c r="C233" s="2"/>
      <c r="J233" s="99"/>
      <c r="K233" s="99"/>
      <c r="L233" s="99"/>
      <c r="M233" s="99"/>
      <c r="N233" s="99"/>
    </row>
    <row r="234" spans="3:14" x14ac:dyDescent="0.3">
      <c r="C234" s="2" t="str">
        <f>'HISTORICAL FS'!C160</f>
        <v>CHECK</v>
      </c>
      <c r="D234" s="99">
        <f>SUM(E234:N234)</f>
        <v>0</v>
      </c>
      <c r="E234" s="99">
        <f t="shared" ref="E234:N234" si="178">E230-E233</f>
        <v>0</v>
      </c>
      <c r="F234" s="99">
        <f t="shared" si="178"/>
        <v>0</v>
      </c>
      <c r="G234" s="99">
        <f t="shared" si="178"/>
        <v>0</v>
      </c>
      <c r="H234" s="99">
        <f t="shared" si="178"/>
        <v>0</v>
      </c>
      <c r="I234" s="99">
        <f t="shared" si="178"/>
        <v>0</v>
      </c>
      <c r="J234" s="99">
        <f t="shared" si="178"/>
        <v>0</v>
      </c>
      <c r="K234" s="99">
        <f t="shared" si="178"/>
        <v>0</v>
      </c>
      <c r="L234" s="99">
        <f t="shared" si="178"/>
        <v>0</v>
      </c>
      <c r="M234" s="99">
        <f t="shared" si="178"/>
        <v>0</v>
      </c>
      <c r="N234" s="99">
        <f t="shared" si="178"/>
        <v>0</v>
      </c>
    </row>
    <row r="235" spans="3:14" x14ac:dyDescent="0.3">
      <c r="C235" s="2"/>
    </row>
    <row r="236" spans="3:14" x14ac:dyDescent="0.3">
      <c r="C236" s="2"/>
      <c r="J236" s="99"/>
      <c r="K236" s="99"/>
      <c r="L236" s="99"/>
      <c r="M236" s="99"/>
      <c r="N236" s="99"/>
    </row>
    <row r="237" spans="3:14" x14ac:dyDescent="0.3">
      <c r="C237" s="2"/>
    </row>
    <row r="238" spans="3:14" x14ac:dyDescent="0.3">
      <c r="C238" s="2"/>
      <c r="J238" s="99"/>
      <c r="K238" s="99"/>
      <c r="L238" s="99"/>
      <c r="M238" s="99"/>
      <c r="N238" s="99"/>
    </row>
    <row r="239" spans="3:14" x14ac:dyDescent="0.3">
      <c r="C239" s="2"/>
    </row>
    <row r="240" spans="3:14" x14ac:dyDescent="0.3">
      <c r="C240" s="2"/>
    </row>
    <row r="241" spans="3:10" x14ac:dyDescent="0.3">
      <c r="C241" s="2"/>
    </row>
    <row r="242" spans="3:10" x14ac:dyDescent="0.3">
      <c r="C242" s="2"/>
    </row>
    <row r="243" spans="3:10" x14ac:dyDescent="0.3">
      <c r="C243" s="2"/>
    </row>
    <row r="244" spans="3:10" x14ac:dyDescent="0.3">
      <c r="C244" s="2"/>
    </row>
    <row r="245" spans="3:10" x14ac:dyDescent="0.3">
      <c r="C245" s="2"/>
    </row>
    <row r="246" spans="3:10" x14ac:dyDescent="0.3">
      <c r="C246" s="2"/>
    </row>
    <row r="247" spans="3:10" x14ac:dyDescent="0.3">
      <c r="C247" s="2"/>
    </row>
    <row r="248" spans="3:10" x14ac:dyDescent="0.3">
      <c r="C248" s="2"/>
    </row>
    <row r="249" spans="3:10" x14ac:dyDescent="0.3">
      <c r="C249" s="2"/>
    </row>
    <row r="250" spans="3:10" x14ac:dyDescent="0.3">
      <c r="C250" s="2"/>
    </row>
    <row r="251" spans="3:10" x14ac:dyDescent="0.3">
      <c r="C251" s="2"/>
    </row>
    <row r="252" spans="3:10" x14ac:dyDescent="0.3">
      <c r="C252" s="2"/>
      <c r="J252" s="99"/>
    </row>
    <row r="253" spans="3:10" x14ac:dyDescent="0.3">
      <c r="C253" s="2"/>
    </row>
    <row r="254" spans="3:10" x14ac:dyDescent="0.3">
      <c r="C254" s="2"/>
    </row>
    <row r="257" spans="1:32" ht="39.6" thickBot="1" x14ac:dyDescent="0.8">
      <c r="A257" s="127"/>
      <c r="B257" s="127"/>
      <c r="C257" s="209" t="s">
        <v>105</v>
      </c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</row>
    <row r="258" spans="1:32" ht="15" thickBot="1" x14ac:dyDescent="0.35">
      <c r="A258" s="127"/>
      <c r="B258" s="127"/>
      <c r="C258" s="210" t="s">
        <v>1282</v>
      </c>
      <c r="D258" s="210"/>
      <c r="E258" s="210"/>
      <c r="F258" s="210"/>
      <c r="G258" s="210"/>
      <c r="H258" s="210"/>
      <c r="I258" s="210"/>
      <c r="J258" s="210"/>
      <c r="K258" s="210"/>
      <c r="L258" s="210"/>
      <c r="M258" s="210"/>
      <c r="N258" s="211"/>
    </row>
    <row r="259" spans="1:32" x14ac:dyDescent="0.3"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138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</row>
    <row r="260" spans="1:32" x14ac:dyDescent="0.3">
      <c r="C260" s="55" t="s">
        <v>978</v>
      </c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</row>
    <row r="261" spans="1:32" x14ac:dyDescent="0.3">
      <c r="C261" s="96" t="str">
        <f>C197</f>
        <v>Inventories</v>
      </c>
      <c r="D261" s="96"/>
      <c r="E261" s="96"/>
      <c r="F261" s="96"/>
      <c r="G261" s="96"/>
      <c r="H261" s="96"/>
      <c r="I261" s="96">
        <f>I197</f>
        <v>949.5</v>
      </c>
      <c r="J261" s="121">
        <f>(J281/J272)*'MODEL&amp;SCHEDULE'!J275</f>
        <v>1112.8038290852685</v>
      </c>
      <c r="K261" s="121">
        <f>(K281/K272)*'MODEL&amp;SCHEDULE'!K275</f>
        <v>1169.8842431999201</v>
      </c>
      <c r="L261" s="121">
        <f>(L281/L272)*'MODEL&amp;SCHEDULE'!L275</f>
        <v>1224.2154207247054</v>
      </c>
      <c r="M261" s="121">
        <f>(M281/M272)*'MODEL&amp;SCHEDULE'!M275</f>
        <v>1373.5509633739725</v>
      </c>
      <c r="N261" s="121">
        <f>(N281/N272)*'MODEL&amp;SCHEDULE'!N275</f>
        <v>1466.5356591687655</v>
      </c>
    </row>
    <row r="262" spans="1:32" x14ac:dyDescent="0.3">
      <c r="C262" s="96" t="str">
        <f>C198</f>
        <v>Customer &amp; Other Receivables</v>
      </c>
      <c r="D262" s="96"/>
      <c r="E262" s="96"/>
      <c r="F262" s="96"/>
      <c r="G262" s="96"/>
      <c r="H262" s="96"/>
      <c r="I262" s="96">
        <f>I198</f>
        <v>1660.6</v>
      </c>
      <c r="J262" s="121">
        <f>J314</f>
        <v>1563.731128040009</v>
      </c>
      <c r="K262" s="121">
        <f t="shared" ref="K262:N262" si="179">K314</f>
        <v>1729.3267560060983</v>
      </c>
      <c r="L262" s="121">
        <f t="shared" si="179"/>
        <v>1954.0438720953707</v>
      </c>
      <c r="M262" s="121">
        <f t="shared" si="179"/>
        <v>2166.8792057333621</v>
      </c>
      <c r="N262" s="121">
        <f t="shared" si="179"/>
        <v>2341.4156504705684</v>
      </c>
    </row>
    <row r="263" spans="1:32" x14ac:dyDescent="0.3">
      <c r="C263" s="96" t="str">
        <f>C199</f>
        <v>Right of return Asset</v>
      </c>
      <c r="D263" s="96"/>
      <c r="E263" s="96"/>
      <c r="F263" s="96"/>
      <c r="G263" s="96"/>
      <c r="H263" s="96"/>
      <c r="I263" s="96">
        <f>I199</f>
        <v>29.7</v>
      </c>
      <c r="J263" s="121">
        <f>$J$290*J261</f>
        <v>44.508342515527147</v>
      </c>
      <c r="K263" s="121">
        <f t="shared" ref="K263:N263" si="180">$J$290*K261</f>
        <v>46.791363615869145</v>
      </c>
      <c r="L263" s="121">
        <f t="shared" si="180"/>
        <v>48.96442466700951</v>
      </c>
      <c r="M263" s="121">
        <f t="shared" si="180"/>
        <v>54.937334993386891</v>
      </c>
      <c r="N263" s="121">
        <f t="shared" si="180"/>
        <v>58.656404411523866</v>
      </c>
    </row>
    <row r="264" spans="1:32" x14ac:dyDescent="0.3">
      <c r="C264" s="55" t="s">
        <v>1029</v>
      </c>
      <c r="D264" s="96"/>
      <c r="E264" s="96"/>
      <c r="F264" s="96"/>
      <c r="G264" s="96"/>
      <c r="H264" s="96"/>
      <c r="I264" s="122">
        <f>SUM(I261:I263)</f>
        <v>2639.7999999999997</v>
      </c>
      <c r="J264" s="122">
        <f>SUM(J261:J263)</f>
        <v>2721.0432996408044</v>
      </c>
      <c r="K264" s="122">
        <f t="shared" ref="K264:M264" si="181">SUM(K261:K263)</f>
        <v>2946.0023628218878</v>
      </c>
      <c r="L264" s="122">
        <f t="shared" si="181"/>
        <v>3227.2237174870857</v>
      </c>
      <c r="M264" s="122">
        <f t="shared" si="181"/>
        <v>3595.3675041007214</v>
      </c>
      <c r="N264" s="122">
        <f>SUM(N261:N263)</f>
        <v>3866.6077140508578</v>
      </c>
    </row>
    <row r="265" spans="1:32" x14ac:dyDescent="0.3">
      <c r="C265" s="55"/>
      <c r="D265" s="96"/>
      <c r="E265" s="96"/>
      <c r="F265" s="96"/>
      <c r="G265" s="96"/>
      <c r="H265" s="96"/>
      <c r="I265" s="121"/>
      <c r="J265" s="121"/>
      <c r="K265" s="121"/>
      <c r="L265" s="121"/>
      <c r="M265" s="121"/>
      <c r="N265" s="121"/>
    </row>
    <row r="266" spans="1:32" x14ac:dyDescent="0.3">
      <c r="C266" s="55" t="s">
        <v>1281</v>
      </c>
      <c r="D266" s="55"/>
      <c r="E266" s="55"/>
      <c r="F266" s="55"/>
      <c r="G266" s="55"/>
      <c r="H266" s="55"/>
      <c r="I266" s="55"/>
      <c r="J266" s="121"/>
      <c r="K266" s="121"/>
      <c r="L266" s="121"/>
      <c r="M266" s="121"/>
      <c r="N266" s="55"/>
    </row>
    <row r="267" spans="1:32" x14ac:dyDescent="0.3">
      <c r="C267" s="96" t="str">
        <f>C210</f>
        <v>Trade Payables  &amp; Other Liabilities</v>
      </c>
      <c r="D267" s="96"/>
      <c r="E267" s="96"/>
      <c r="F267" s="96"/>
      <c r="G267" s="96"/>
      <c r="H267" s="96"/>
      <c r="I267" s="96">
        <f>I210</f>
        <v>1132.4000000000001</v>
      </c>
      <c r="J267" s="123">
        <f>J326</f>
        <v>1256.5481098230068</v>
      </c>
      <c r="K267" s="123">
        <f t="shared" ref="K267:N267" si="182">K326</f>
        <v>1382.0345842803595</v>
      </c>
      <c r="L267" s="123">
        <f t="shared" si="182"/>
        <v>1512.609535891394</v>
      </c>
      <c r="M267" s="123">
        <f t="shared" si="182"/>
        <v>1687.2838477042201</v>
      </c>
      <c r="N267" s="123">
        <f t="shared" si="182"/>
        <v>1694.0634668441546</v>
      </c>
    </row>
    <row r="268" spans="1:32" x14ac:dyDescent="0.3">
      <c r="C268" s="96"/>
      <c r="D268" s="96"/>
      <c r="E268" s="96"/>
      <c r="F268" s="96"/>
      <c r="G268" s="96"/>
      <c r="H268" s="96"/>
      <c r="I268" s="121"/>
      <c r="J268" s="121"/>
      <c r="K268" s="121"/>
      <c r="L268" s="121"/>
      <c r="M268" s="121"/>
      <c r="N268" s="121"/>
    </row>
    <row r="269" spans="1:32" x14ac:dyDescent="0.3">
      <c r="C269" s="55" t="s">
        <v>980</v>
      </c>
      <c r="D269" s="96"/>
      <c r="E269" s="96"/>
      <c r="F269" s="96"/>
      <c r="G269" s="96"/>
      <c r="H269" s="96"/>
      <c r="I269" s="123">
        <f>I264-I267</f>
        <v>1507.3999999999996</v>
      </c>
      <c r="J269" s="123">
        <f>J264-J267</f>
        <v>1464.4951898177976</v>
      </c>
      <c r="K269" s="123">
        <f t="shared" ref="K269:N269" si="183">K264-K267</f>
        <v>1563.9677785415283</v>
      </c>
      <c r="L269" s="123">
        <f t="shared" si="183"/>
        <v>1714.6141815956917</v>
      </c>
      <c r="M269" s="123">
        <f t="shared" si="183"/>
        <v>1908.0836563965013</v>
      </c>
      <c r="N269" s="123">
        <f t="shared" si="183"/>
        <v>2172.5442472067034</v>
      </c>
    </row>
    <row r="270" spans="1:32" x14ac:dyDescent="0.3">
      <c r="C270" s="55" t="s">
        <v>981</v>
      </c>
      <c r="D270" s="96"/>
      <c r="E270" s="96"/>
      <c r="F270" s="96"/>
      <c r="G270" s="96"/>
      <c r="H270" s="96"/>
      <c r="I270" s="96"/>
      <c r="J270" s="121">
        <f>I269-J269</f>
        <v>42.904810182202027</v>
      </c>
      <c r="K270" s="121">
        <f>J269-K269</f>
        <v>-99.472588723730723</v>
      </c>
      <c r="L270" s="121">
        <f t="shared" ref="L270:N270" si="184">K269-L269</f>
        <v>-150.64640305416333</v>
      </c>
      <c r="M270" s="121">
        <f t="shared" si="184"/>
        <v>-193.46947480080962</v>
      </c>
      <c r="N270" s="121">
        <f t="shared" si="184"/>
        <v>-264.46059081020212</v>
      </c>
    </row>
    <row r="271" spans="1:32" x14ac:dyDescent="0.3">
      <c r="B271" s="135"/>
      <c r="C271" s="136"/>
      <c r="D271" s="137"/>
      <c r="E271" s="137"/>
      <c r="F271" s="137"/>
      <c r="G271" s="137"/>
      <c r="H271" s="137"/>
      <c r="I271" s="137"/>
      <c r="J271" s="137"/>
      <c r="K271" s="136"/>
      <c r="L271" s="136"/>
      <c r="M271" s="136"/>
      <c r="N271" s="136"/>
      <c r="O271" s="135"/>
      <c r="P271" s="135"/>
    </row>
    <row r="272" spans="1:32" x14ac:dyDescent="0.3">
      <c r="C272" s="96" t="str">
        <f>ASSUMPTIONS!C7</f>
        <v>Days in the period</v>
      </c>
      <c r="D272" s="96"/>
      <c r="E272" s="96"/>
      <c r="F272" s="96"/>
      <c r="G272" s="96"/>
      <c r="H272" s="96"/>
      <c r="I272" s="96"/>
      <c r="J272" s="132">
        <f>ASSUMPTIONS!J7</f>
        <v>365</v>
      </c>
      <c r="K272" s="132">
        <f>ASSUMPTIONS!K7</f>
        <v>366</v>
      </c>
      <c r="L272" s="132">
        <f>ASSUMPTIONS!L7</f>
        <v>365</v>
      </c>
      <c r="M272" s="132">
        <f>ASSUMPTIONS!M7</f>
        <v>365</v>
      </c>
      <c r="N272" s="132">
        <f>ASSUMPTIONS!N7</f>
        <v>365</v>
      </c>
    </row>
    <row r="273" spans="3:14" x14ac:dyDescent="0.3"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</row>
    <row r="274" spans="3:14" x14ac:dyDescent="0.3">
      <c r="C274" s="55" t="str">
        <f>C17</f>
        <v>Revenue</v>
      </c>
      <c r="D274" s="55"/>
      <c r="E274" s="55"/>
      <c r="F274" s="55"/>
      <c r="G274" s="55"/>
      <c r="H274" s="55"/>
      <c r="I274" s="96">
        <f t="shared" ref="I274:N275" si="185">I17</f>
        <v>6901.3</v>
      </c>
      <c r="J274" s="121">
        <f t="shared" si="185"/>
        <v>7275.7040000000006</v>
      </c>
      <c r="K274" s="121">
        <f t="shared" si="185"/>
        <v>7952.2216399999998</v>
      </c>
      <c r="L274" s="121">
        <f t="shared" si="185"/>
        <v>8824.742226710001</v>
      </c>
      <c r="M274" s="121">
        <f t="shared" si="185"/>
        <v>9622.7976652272009</v>
      </c>
      <c r="N274" s="121">
        <f t="shared" si="185"/>
        <v>10418.632566040322</v>
      </c>
    </row>
    <row r="275" spans="3:14" x14ac:dyDescent="0.3">
      <c r="C275" s="55" t="str">
        <f>C18</f>
        <v>cost of sales</v>
      </c>
      <c r="D275" s="55"/>
      <c r="E275" s="55"/>
      <c r="F275" s="55"/>
      <c r="G275" s="55"/>
      <c r="H275" s="55"/>
      <c r="I275" s="96">
        <f t="shared" si="185"/>
        <v>3847.5</v>
      </c>
      <c r="J275" s="121">
        <f t="shared" si="185"/>
        <v>4080.7102990833223</v>
      </c>
      <c r="K275" s="121">
        <f t="shared" si="185"/>
        <v>4460.1474643472666</v>
      </c>
      <c r="L275" s="121">
        <f t="shared" si="185"/>
        <v>4949.5164304775162</v>
      </c>
      <c r="M275" s="121">
        <f t="shared" si="185"/>
        <v>5397.1202702154433</v>
      </c>
      <c r="N275" s="121">
        <f t="shared" si="185"/>
        <v>5843.4786811840668</v>
      </c>
    </row>
    <row r="276" spans="3:14" x14ac:dyDescent="0.3">
      <c r="C276" s="2" t="str">
        <f>ASSUMPTIONS!C48</f>
        <v>Credit Sales as a % of Product Revenue</v>
      </c>
      <c r="J276" s="99">
        <f>ASSUMPTIONS!J48*'MODEL&amp;SCHEDULE'!J13</f>
        <v>2909.2091003280671</v>
      </c>
      <c r="K276" s="99">
        <f>ASSUMPTIONS!K48*'MODEL&amp;SCHEDULE'!K13</f>
        <v>3052.3553828000004</v>
      </c>
      <c r="L276" s="99">
        <f>ASSUMPTIONS!L48*'MODEL&amp;SCHEDULE'!L13</f>
        <v>3362.5754559900001</v>
      </c>
      <c r="M276" s="99">
        <f>ASSUMPTIONS!M48*'MODEL&amp;SCHEDULE'!M13</f>
        <v>3785.8246179583202</v>
      </c>
      <c r="N276" s="99">
        <f>ASSUMPTIONS!N48*'MODEL&amp;SCHEDULE'!N13</f>
        <v>4030.6431207201799</v>
      </c>
    </row>
    <row r="277" spans="3:14" x14ac:dyDescent="0.3">
      <c r="C277" s="2"/>
      <c r="J277" s="99"/>
      <c r="K277" s="99"/>
      <c r="L277" s="99"/>
      <c r="M277" s="99"/>
      <c r="N277" s="99"/>
    </row>
    <row r="278" spans="3:14" x14ac:dyDescent="0.3">
      <c r="C278" s="2" t="s">
        <v>1034</v>
      </c>
      <c r="J278" s="99">
        <f>ASSUMPTIONS!$J$109*'MODEL&amp;SCHEDULE'!J274</f>
        <v>1156.7556656214279</v>
      </c>
      <c r="K278" s="99">
        <f>ASSUMPTIONS!$J$109*'MODEL&amp;SCHEDULE'!K274</f>
        <v>1264.3144136082669</v>
      </c>
      <c r="L278" s="99">
        <f>ASSUMPTIONS!$J$109*'MODEL&amp;SCHEDULE'!L274</f>
        <v>1403.0354407484756</v>
      </c>
      <c r="M278" s="99">
        <f>ASSUMPTIONS!$J$109*'MODEL&amp;SCHEDULE'!M274</f>
        <v>1529.917341109563</v>
      </c>
      <c r="N278" s="99">
        <f>ASSUMPTIONS!$J$109*'MODEL&amp;SCHEDULE'!N274</f>
        <v>1656.4462007793413</v>
      </c>
    </row>
    <row r="279" spans="3:14" x14ac:dyDescent="0.3">
      <c r="J279" s="99"/>
      <c r="K279" s="99"/>
      <c r="L279" s="99"/>
      <c r="M279" s="99"/>
      <c r="N279" s="99"/>
    </row>
    <row r="280" spans="3:14" x14ac:dyDescent="0.3">
      <c r="C280" t="str">
        <f>ASSUMPTIONS!C74</f>
        <v>Days Sales Outstanding (DSO)</v>
      </c>
      <c r="D280" t="s">
        <v>982</v>
      </c>
      <c r="J280" s="125">
        <f>ASSUMPTIONS!J74</f>
        <v>170.23890879887563</v>
      </c>
      <c r="K280" s="125">
        <f>ASSUMPTIONS!K74</f>
        <v>175.80963350429101</v>
      </c>
      <c r="L280" s="125">
        <f>ASSUMPTIONS!L74</f>
        <v>180.41284467238805</v>
      </c>
      <c r="M280" s="125">
        <f>ASSUMPTIONS!M74</f>
        <v>178.21712622985072</v>
      </c>
      <c r="N280" s="125">
        <f>ASSUMPTIONS!N74</f>
        <v>180.81320146884329</v>
      </c>
    </row>
    <row r="281" spans="3:14" x14ac:dyDescent="0.3">
      <c r="C281" t="str">
        <f>ASSUMPTIONS!C75</f>
        <v>Days Inventory Outstanding (DIO)</v>
      </c>
      <c r="J281" s="125">
        <f>ASSUMPTIONS!J75</f>
        <v>99.534975003583199</v>
      </c>
      <c r="K281" s="125">
        <f>ASSUMPTIONS!K75</f>
        <v>96.000779443697994</v>
      </c>
      <c r="L281" s="125">
        <f>ASSUMPTIONS!L75</f>
        <v>90.279249466277193</v>
      </c>
      <c r="M281" s="125">
        <f>ASSUMPTIONS!M75</f>
        <v>92.891408108548063</v>
      </c>
      <c r="N281" s="125">
        <f>ASSUMPTIONS!N75</f>
        <v>91.60391349081371</v>
      </c>
    </row>
    <row r="282" spans="3:14" x14ac:dyDescent="0.3">
      <c r="C282" t="str">
        <f>ASSUMPTIONS!C76</f>
        <v>Days Payable Outstanding (DPO)</v>
      </c>
      <c r="J282" s="125">
        <f>ASSUMPTIONS!J76</f>
        <v>34.747341136293144</v>
      </c>
      <c r="K282" s="125">
        <f>ASSUMPTIONS!K76</f>
        <v>36.159350159763399</v>
      </c>
      <c r="L282" s="125">
        <f>ASSUMPTIONS!L76</f>
        <v>32.292110535714379</v>
      </c>
      <c r="M282" s="125">
        <f>ASSUMPTIONS!M76</f>
        <v>34.029823981385697</v>
      </c>
      <c r="N282" s="125">
        <f>ASSUMPTIONS!N76</f>
        <v>28.798093743124156</v>
      </c>
    </row>
    <row r="283" spans="3:14" x14ac:dyDescent="0.3">
      <c r="J283" s="99"/>
      <c r="K283" s="99"/>
      <c r="L283" s="99"/>
      <c r="M283" s="99"/>
      <c r="N283" s="99"/>
    </row>
    <row r="284" spans="3:14" x14ac:dyDescent="0.3">
      <c r="C284" t="str">
        <f>ASSUMPTIONS!C82</f>
        <v>Customer receivables</v>
      </c>
      <c r="J284" s="125">
        <f>ASSUMPTIONS!J82</f>
        <v>1323</v>
      </c>
      <c r="K284" s="99"/>
      <c r="L284" s="99"/>
      <c r="M284" s="99"/>
      <c r="N284" s="99"/>
    </row>
    <row r="285" spans="3:14" x14ac:dyDescent="0.3">
      <c r="C285" t="str">
        <f>ASSUMPTIONS!C84</f>
        <v>other receivables days using total revenue</v>
      </c>
      <c r="J285" s="125">
        <f>ASSUMPTIONS!J84</f>
        <v>12.083394073154651</v>
      </c>
      <c r="K285" s="99"/>
      <c r="L285" s="99"/>
      <c r="M285" s="99"/>
      <c r="N285" s="99"/>
    </row>
    <row r="286" spans="3:14" x14ac:dyDescent="0.3">
      <c r="C286" t="str">
        <f>ASSUMPTIONS!C85</f>
        <v>other trade  receivables(net of allowance)</v>
      </c>
      <c r="J286" s="125">
        <f>ASSUMPTIONS!J85</f>
        <v>1.0609932951226135E-2</v>
      </c>
      <c r="K286" s="99"/>
      <c r="L286" s="99"/>
      <c r="M286" s="99"/>
      <c r="N286" s="99"/>
    </row>
    <row r="287" spans="3:14" x14ac:dyDescent="0.3">
      <c r="C287" t="str">
        <f>ASSUMPTIONS!C86</f>
        <v>prepayments</v>
      </c>
      <c r="J287" s="125">
        <f>ASSUMPTIONS!J86</f>
        <v>1.1269230432004947E-2</v>
      </c>
      <c r="K287" s="99"/>
      <c r="L287" s="99"/>
      <c r="M287" s="99"/>
      <c r="N287" s="99"/>
    </row>
    <row r="288" spans="3:14" x14ac:dyDescent="0.3">
      <c r="C288" t="str">
        <f>ASSUMPTIONS!C87</f>
        <v>other debtors</v>
      </c>
      <c r="J288" s="125">
        <f>ASSUMPTIONS!J87</f>
        <v>7.3463443048772756E-3</v>
      </c>
      <c r="K288" s="99"/>
      <c r="L288" s="99"/>
      <c r="M288" s="99"/>
      <c r="N288" s="99"/>
    </row>
    <row r="289" spans="3:14" x14ac:dyDescent="0.3">
      <c r="C289" t="str">
        <f>ASSUMPTIONS!C88</f>
        <v>Amount due from associates and joint ventures</v>
      </c>
      <c r="J289" s="125">
        <f>ASSUMPTIONS!J88</f>
        <v>3.8614799133676269E-3</v>
      </c>
      <c r="K289" s="99"/>
      <c r="L289" s="99"/>
      <c r="M289" s="99"/>
      <c r="N289" s="99"/>
    </row>
    <row r="290" spans="3:14" x14ac:dyDescent="0.3">
      <c r="C290" t="str">
        <f>ASSUMPTIONS!C90</f>
        <v>Right to return as a % of inventory</v>
      </c>
      <c r="J290" s="125">
        <f>ASSUMPTIONS!J90</f>
        <v>3.9996575633742447E-2</v>
      </c>
      <c r="K290" s="99"/>
      <c r="L290" s="99"/>
      <c r="M290" s="99"/>
      <c r="N290" s="99"/>
    </row>
    <row r="291" spans="3:14" x14ac:dyDescent="0.3">
      <c r="J291" s="99"/>
      <c r="K291" s="99"/>
      <c r="L291" s="99"/>
      <c r="M291" s="99"/>
      <c r="N291" s="99"/>
    </row>
    <row r="292" spans="3:14" x14ac:dyDescent="0.3">
      <c r="C292" t="str">
        <f>ASSUMPTIONS!C94</f>
        <v>Amounts owed to associates and JV</v>
      </c>
      <c r="J292" s="125">
        <f>ASSUMPTIONS!J94</f>
        <v>5.0127147936132599E-4</v>
      </c>
      <c r="K292" s="99"/>
      <c r="L292" s="99"/>
      <c r="M292" s="99"/>
      <c r="N292" s="99"/>
    </row>
    <row r="293" spans="3:14" x14ac:dyDescent="0.3">
      <c r="C293" t="str">
        <f>ASSUMPTIONS!C95</f>
        <v>Refund liabilities</v>
      </c>
      <c r="J293" s="125">
        <f>ASSUMPTIONS!J95</f>
        <v>7.1301750162105063E-2</v>
      </c>
      <c r="K293" s="125">
        <f>ASSUMPTIONS!K95</f>
        <v>7.3202102810938072E-2</v>
      </c>
      <c r="L293" s="125">
        <f>ASSUMPTIONS!L95</f>
        <v>0.11389953395428939</v>
      </c>
      <c r="M293" s="125">
        <f>ASSUMPTIONS!M95</f>
        <v>0.12511848341232229</v>
      </c>
      <c r="N293" s="125">
        <f>ASSUMPTIONS!N95</f>
        <v>9.5880467584913712E-2</v>
      </c>
    </row>
    <row r="294" spans="3:14" x14ac:dyDescent="0.3">
      <c r="J294" s="125"/>
      <c r="K294" s="99"/>
      <c r="L294" s="99"/>
      <c r="M294" s="99"/>
      <c r="N294" s="99"/>
    </row>
    <row r="295" spans="3:14" x14ac:dyDescent="0.3">
      <c r="C295" t="str">
        <f>ASSUMPTIONS!C97</f>
        <v>Other taxation and social security</v>
      </c>
      <c r="J295" s="125">
        <f>ASSUMPTIONS!J97</f>
        <v>0.12189371929556898</v>
      </c>
      <c r="K295" s="99"/>
      <c r="L295" s="99"/>
      <c r="M295" s="99"/>
      <c r="N295" s="99"/>
    </row>
    <row r="296" spans="3:14" x14ac:dyDescent="0.3">
      <c r="C296" t="str">
        <f>ASSUMPTIONS!C98</f>
        <v>Deferred revenue from the sale of gift cards</v>
      </c>
      <c r="J296" s="125">
        <f>ASSUMPTIONS!J98</f>
        <v>1.7223598139482495E-2</v>
      </c>
      <c r="K296" s="99"/>
      <c r="L296" s="99"/>
      <c r="M296" s="99"/>
      <c r="N296" s="99"/>
    </row>
    <row r="297" spans="3:14" x14ac:dyDescent="0.3">
      <c r="C297" t="str">
        <f>ASSUMPTIONS!C99</f>
        <v xml:space="preserve">Share based payment liability </v>
      </c>
      <c r="J297" s="125">
        <f>ASSUMPTIONS!J99</f>
        <v>0.2</v>
      </c>
      <c r="K297" s="99"/>
      <c r="L297" s="99"/>
      <c r="M297" s="99"/>
      <c r="N297" s="99"/>
    </row>
    <row r="298" spans="3:14" x14ac:dyDescent="0.3">
      <c r="J298" s="99"/>
      <c r="K298" s="99"/>
      <c r="L298" s="99"/>
      <c r="M298" s="99"/>
      <c r="N298" s="99"/>
    </row>
    <row r="299" spans="3:14" x14ac:dyDescent="0.3">
      <c r="C299" t="str">
        <f>ASSUMPTIONS!C101</f>
        <v>other creditors and accruals</v>
      </c>
      <c r="J299" s="99"/>
      <c r="K299" s="99"/>
      <c r="L299" s="99"/>
      <c r="M299" s="99"/>
      <c r="N299" s="99"/>
    </row>
    <row r="300" spans="3:14" x14ac:dyDescent="0.3">
      <c r="C300" t="str">
        <f>ASSUMPTIONS!C102</f>
        <v>staff related accruals</v>
      </c>
      <c r="J300" s="125">
        <f>ASSUMPTIONS!J102</f>
        <v>8.612861556647762E-2</v>
      </c>
      <c r="K300" s="99"/>
      <c r="L300" s="99"/>
      <c r="M300" s="99"/>
      <c r="N300" s="99"/>
    </row>
    <row r="301" spans="3:14" x14ac:dyDescent="0.3">
      <c r="C301" t="str">
        <f>ASSUMPTIONS!C103</f>
        <v>warehouse and duty related accruals</v>
      </c>
      <c r="J301" s="125">
        <f>ASSUMPTIONS!J103</f>
        <v>3.3830800141696621E-2</v>
      </c>
      <c r="K301" s="99"/>
      <c r="L301" s="99"/>
      <c r="M301" s="99"/>
      <c r="N301" s="99"/>
    </row>
    <row r="302" spans="3:14" x14ac:dyDescent="0.3">
      <c r="C302" t="str">
        <f>ASSUMPTIONS!C104</f>
        <v>property accruals</v>
      </c>
      <c r="J302" s="125">
        <f>ASSUMPTIONS!J104</f>
        <v>37.85</v>
      </c>
      <c r="K302" s="99"/>
      <c r="L302" s="99"/>
      <c r="M302" s="99"/>
      <c r="N302" s="99"/>
    </row>
    <row r="303" spans="3:14" x14ac:dyDescent="0.3">
      <c r="C303" t="str">
        <f>ASSUMPTIONS!C105</f>
        <v>marketing accruals</v>
      </c>
      <c r="J303" s="125">
        <f>ASSUMPTIONS!J105</f>
        <v>2.13234766567641E-3</v>
      </c>
      <c r="K303" s="99"/>
      <c r="L303" s="99"/>
      <c r="M303" s="99"/>
      <c r="N303" s="99"/>
    </row>
    <row r="304" spans="3:14" x14ac:dyDescent="0.3">
      <c r="C304" t="str">
        <f>ASSUMPTIONS!C106</f>
        <v>unpaid interest on corporate bonds within accruals</v>
      </c>
      <c r="J304" s="125">
        <f>ASSUMPTIONS!J106</f>
        <v>15.218609865470853</v>
      </c>
    </row>
    <row r="305" spans="2:16" x14ac:dyDescent="0.3">
      <c r="C305" t="str">
        <f>ASSUMPTIONS!C107</f>
        <v>Residual balance of accruals and other creditors</v>
      </c>
      <c r="J305" s="140">
        <f>ASSUMPTIONS!J107</f>
        <v>201.90000000000003</v>
      </c>
      <c r="K305" s="99"/>
      <c r="L305" s="99"/>
      <c r="M305" s="99"/>
      <c r="N305" s="99"/>
    </row>
    <row r="306" spans="2:16" x14ac:dyDescent="0.3">
      <c r="B306" s="48"/>
      <c r="C306" s="48"/>
      <c r="D306" s="48"/>
      <c r="E306" s="48"/>
      <c r="F306" s="48"/>
      <c r="G306" s="48"/>
      <c r="H306" s="48"/>
      <c r="I306" s="48"/>
      <c r="J306" s="141"/>
      <c r="K306" s="141"/>
      <c r="L306" s="141"/>
      <c r="M306" s="141"/>
      <c r="N306" s="141"/>
      <c r="O306" s="48"/>
      <c r="P306" s="48"/>
    </row>
    <row r="307" spans="2:16" x14ac:dyDescent="0.3">
      <c r="J307" s="99"/>
      <c r="K307" s="99"/>
      <c r="L307" s="99"/>
      <c r="M307" s="99"/>
      <c r="N307" s="99"/>
    </row>
    <row r="308" spans="2:16" x14ac:dyDescent="0.3">
      <c r="C308" s="2" t="s">
        <v>983</v>
      </c>
      <c r="J308" s="99"/>
      <c r="K308" s="99"/>
      <c r="L308" s="99"/>
      <c r="M308" s="99"/>
      <c r="N308" s="99"/>
    </row>
    <row r="309" spans="2:16" x14ac:dyDescent="0.3">
      <c r="C309" t="str">
        <f>C284</f>
        <v>Customer receivables</v>
      </c>
      <c r="J309" s="99">
        <f>J284</f>
        <v>1323</v>
      </c>
      <c r="K309" s="99">
        <f>(K280/K272)*K276</f>
        <v>1466.2116971992293</v>
      </c>
      <c r="L309" s="99">
        <f>(L280/L272)*L276</f>
        <v>1662.0597354539952</v>
      </c>
      <c r="M309" s="99">
        <f>(M280/M272)*M276</f>
        <v>1848.4898186924777</v>
      </c>
      <c r="N309" s="99">
        <f>(N280/N272)*N276</f>
        <v>1996.6944839336579</v>
      </c>
    </row>
    <row r="310" spans="2:16" x14ac:dyDescent="0.3">
      <c r="C310" t="str">
        <f>C286</f>
        <v>other trade  receivables(net of allowance)</v>
      </c>
      <c r="J310" s="99">
        <f>$J$286*J274</f>
        <v>77.1947316129678</v>
      </c>
      <c r="K310" s="99">
        <f t="shared" ref="K310:N310" si="186">$J$286*K274</f>
        <v>84.37253841368954</v>
      </c>
      <c r="L310" s="99">
        <f t="shared" si="186"/>
        <v>93.629923337247135</v>
      </c>
      <c r="M310" s="99">
        <f t="shared" si="186"/>
        <v>102.09723803127599</v>
      </c>
      <c r="N310" s="99">
        <f t="shared" si="186"/>
        <v>110.54099296914892</v>
      </c>
    </row>
    <row r="311" spans="2:16" x14ac:dyDescent="0.3">
      <c r="C311" t="str">
        <f>C287</f>
        <v>prepayments</v>
      </c>
      <c r="J311" s="99">
        <f>$J$287*J274</f>
        <v>81.991584931060132</v>
      </c>
      <c r="K311" s="99">
        <f t="shared" ref="K311:N311" si="187">$J$287*K274</f>
        <v>89.615418107536286</v>
      </c>
      <c r="L311" s="99">
        <f t="shared" si="187"/>
        <v>99.448053655839445</v>
      </c>
      <c r="M311" s="99">
        <f t="shared" si="187"/>
        <v>108.44152429000452</v>
      </c>
      <c r="N311" s="99">
        <f t="shared" si="187"/>
        <v>117.40997117309939</v>
      </c>
    </row>
    <row r="312" spans="2:16" x14ac:dyDescent="0.3">
      <c r="C312" t="str">
        <f>C288</f>
        <v>other debtors</v>
      </c>
      <c r="J312" s="99">
        <f>$J$288*J274</f>
        <v>53.44982664437282</v>
      </c>
      <c r="K312" s="99">
        <f t="shared" ref="K312:N312" si="188">$J$288*K274</f>
        <v>58.419758156135828</v>
      </c>
      <c r="L312" s="99">
        <f t="shared" si="188"/>
        <v>64.829594799201018</v>
      </c>
      <c r="M312" s="99">
        <f t="shared" si="188"/>
        <v>70.692384824928197</v>
      </c>
      <c r="N312" s="99">
        <f t="shared" si="188"/>
        <v>76.538862016139234</v>
      </c>
    </row>
    <row r="313" spans="2:16" x14ac:dyDescent="0.3">
      <c r="C313" t="str">
        <f>C289</f>
        <v>Amount due from associates and joint ventures</v>
      </c>
      <c r="J313" s="99">
        <f>($J$289*J274)</f>
        <v>28.094984851608498</v>
      </c>
      <c r="K313" s="99">
        <f t="shared" ref="K313:N313" si="189">($J$289*K274)</f>
        <v>30.707344129507366</v>
      </c>
      <c r="L313" s="99">
        <f t="shared" si="189"/>
        <v>34.076564849087774</v>
      </c>
      <c r="M313" s="99">
        <f t="shared" si="189"/>
        <v>37.158239894675731</v>
      </c>
      <c r="N313" s="99">
        <f t="shared" si="189"/>
        <v>40.231340378522518</v>
      </c>
    </row>
    <row r="314" spans="2:16" x14ac:dyDescent="0.3">
      <c r="C314" s="2" t="s">
        <v>113</v>
      </c>
      <c r="J314" s="111">
        <f>SUM(J309:J313)</f>
        <v>1563.731128040009</v>
      </c>
      <c r="K314" s="111">
        <f>SUM(K309:K313)</f>
        <v>1729.3267560060983</v>
      </c>
      <c r="L314" s="111">
        <f t="shared" ref="L314:N314" si="190">SUM(L309:L313)</f>
        <v>1954.0438720953707</v>
      </c>
      <c r="M314" s="111">
        <f t="shared" si="190"/>
        <v>2166.8792057333621</v>
      </c>
      <c r="N314" s="111">
        <f t="shared" si="190"/>
        <v>2341.4156504705684</v>
      </c>
    </row>
    <row r="315" spans="2:16" x14ac:dyDescent="0.3">
      <c r="C315" s="2"/>
      <c r="J315" s="99"/>
      <c r="K315" s="99"/>
      <c r="L315" s="99"/>
      <c r="M315" s="99"/>
      <c r="N315" s="99"/>
    </row>
    <row r="316" spans="2:16" x14ac:dyDescent="0.3">
      <c r="C316" s="2"/>
      <c r="J316" s="99"/>
      <c r="K316" s="99"/>
      <c r="L316" s="99"/>
      <c r="M316" s="99"/>
      <c r="N316" s="99"/>
    </row>
    <row r="317" spans="2:16" x14ac:dyDescent="0.3">
      <c r="C317" s="2" t="s">
        <v>1028</v>
      </c>
      <c r="J317" s="99"/>
      <c r="K317" s="99"/>
      <c r="L317" s="99"/>
      <c r="M317" s="99"/>
      <c r="N317" s="99"/>
    </row>
    <row r="318" spans="2:16" x14ac:dyDescent="0.3">
      <c r="C318" t="s">
        <v>1283</v>
      </c>
      <c r="J318" s="99">
        <f>(J282/J272)*J275</f>
        <v>388.47625435789865</v>
      </c>
      <c r="K318" s="99">
        <f t="shared" ref="K318:N318" si="191">(K282/K272)*K275</f>
        <v>440.64490144129411</v>
      </c>
      <c r="L318" s="99">
        <f t="shared" si="191"/>
        <v>437.89131964743677</v>
      </c>
      <c r="M318" s="99">
        <f t="shared" si="191"/>
        <v>503.18644603232968</v>
      </c>
      <c r="N318" s="99">
        <f t="shared" si="191"/>
        <v>461.04396396352405</v>
      </c>
    </row>
    <row r="319" spans="2:16" x14ac:dyDescent="0.3">
      <c r="C319" t="str">
        <f t="shared" ref="C319:C320" si="192">C292</f>
        <v>Amounts owed to associates and JV</v>
      </c>
      <c r="J319" s="99">
        <f>$J$292*J275</f>
        <v>2.0455436884664961</v>
      </c>
      <c r="K319" s="99">
        <f t="shared" ref="K319:N319" si="193">$J$292*K275</f>
        <v>2.2357447176230214</v>
      </c>
      <c r="L319" s="99">
        <f t="shared" si="193"/>
        <v>2.4810514232286542</v>
      </c>
      <c r="M319" s="99">
        <f t="shared" si="193"/>
        <v>2.7054224621418945</v>
      </c>
      <c r="N319" s="99">
        <f t="shared" si="193"/>
        <v>2.9291692031335073</v>
      </c>
    </row>
    <row r="320" spans="2:16" x14ac:dyDescent="0.3">
      <c r="C320" t="str">
        <f t="shared" si="192"/>
        <v>Refund liabilities</v>
      </c>
      <c r="J320" s="99">
        <f>J293*J261</f>
        <v>79.344860600871684</v>
      </c>
      <c r="K320" s="99">
        <f t="shared" ref="K320:N320" si="194">K293*K261</f>
        <v>85.637986647617026</v>
      </c>
      <c r="L320" s="99">
        <f t="shared" si="194"/>
        <v>139.43756588019826</v>
      </c>
      <c r="M320" s="99">
        <f t="shared" si="194"/>
        <v>171.85661342688567</v>
      </c>
      <c r="N320" s="99">
        <f t="shared" si="194"/>
        <v>140.6121247310509</v>
      </c>
    </row>
    <row r="321" spans="3:15" x14ac:dyDescent="0.3">
      <c r="C321" t="str">
        <f>C295</f>
        <v>Other taxation and social security</v>
      </c>
      <c r="J321" s="99">
        <f>$J$295*J278</f>
        <v>141.00125039881738</v>
      </c>
      <c r="K321" s="99">
        <f t="shared" ref="K321:N321" si="195">$J$295*K278</f>
        <v>154.111986233708</v>
      </c>
      <c r="L321" s="99">
        <f t="shared" si="195"/>
        <v>171.02120817632959</v>
      </c>
      <c r="M321" s="99">
        <f t="shared" si="195"/>
        <v>186.48731492263235</v>
      </c>
      <c r="N321" s="99">
        <f t="shared" si="195"/>
        <v>201.91038822600873</v>
      </c>
    </row>
    <row r="322" spans="3:15" x14ac:dyDescent="0.3">
      <c r="C322" t="str">
        <f t="shared" ref="C322:C323" si="196">C296</f>
        <v>Deferred revenue from the sale of gift cards</v>
      </c>
      <c r="J322" s="99">
        <f>$J$296*J274</f>
        <v>125.31380187782536</v>
      </c>
      <c r="K322" s="99">
        <f t="shared" ref="K322:N322" si="197">$J$296*K274</f>
        <v>136.96586984345643</v>
      </c>
      <c r="L322" s="99">
        <f t="shared" si="197"/>
        <v>151.99381379737497</v>
      </c>
      <c r="M322" s="99">
        <f t="shared" si="197"/>
        <v>165.73919996342372</v>
      </c>
      <c r="N322" s="99">
        <f t="shared" si="197"/>
        <v>179.44634048040382</v>
      </c>
    </row>
    <row r="323" spans="3:15" x14ac:dyDescent="0.3">
      <c r="C323" t="str">
        <f t="shared" si="196"/>
        <v xml:space="preserve">Share based payment liability </v>
      </c>
      <c r="J323" s="99">
        <f>J297</f>
        <v>0.2</v>
      </c>
      <c r="K323" s="99">
        <f>J323</f>
        <v>0.2</v>
      </c>
      <c r="L323" s="99">
        <f t="shared" ref="L323:N323" si="198">K323</f>
        <v>0.2</v>
      </c>
      <c r="M323" s="99">
        <f t="shared" si="198"/>
        <v>0.2</v>
      </c>
      <c r="N323" s="99">
        <f t="shared" si="198"/>
        <v>0.2</v>
      </c>
    </row>
    <row r="324" spans="3:15" x14ac:dyDescent="0.3">
      <c r="C324" t="s">
        <v>1294</v>
      </c>
      <c r="J324" s="99">
        <f>J504</f>
        <v>12</v>
      </c>
      <c r="K324" s="99">
        <f t="shared" ref="K324:N324" si="199">K504</f>
        <v>30.528576726543974</v>
      </c>
      <c r="L324" s="99">
        <f t="shared" si="199"/>
        <v>47.510947354135965</v>
      </c>
      <c r="M324" s="99">
        <f t="shared" si="199"/>
        <v>67.262531169340946</v>
      </c>
      <c r="N324" s="99">
        <f t="shared" si="199"/>
        <v>90.379746113946965</v>
      </c>
    </row>
    <row r="325" spans="3:15" x14ac:dyDescent="0.3">
      <c r="C325" t="str">
        <f>C328</f>
        <v>other creditors and accruals</v>
      </c>
      <c r="J325" s="99">
        <f>J335</f>
        <v>508.16639889912722</v>
      </c>
      <c r="K325" s="99">
        <f t="shared" ref="K325:N325" si="200">K335</f>
        <v>531.70951867011672</v>
      </c>
      <c r="L325" s="99">
        <f t="shared" si="200"/>
        <v>562.0736296126895</v>
      </c>
      <c r="M325" s="99">
        <f t="shared" si="200"/>
        <v>589.84631972746593</v>
      </c>
      <c r="N325" s="99">
        <f t="shared" si="200"/>
        <v>617.54173412608657</v>
      </c>
    </row>
    <row r="326" spans="3:15" x14ac:dyDescent="0.3">
      <c r="J326" s="111">
        <f>SUM(J318:J325)</f>
        <v>1256.5481098230068</v>
      </c>
      <c r="K326" s="111">
        <f t="shared" ref="K326:M326" si="201">SUM(K318:K325)</f>
        <v>1382.0345842803595</v>
      </c>
      <c r="L326" s="111">
        <f t="shared" si="201"/>
        <v>1512.609535891394</v>
      </c>
      <c r="M326" s="111">
        <f t="shared" si="201"/>
        <v>1687.2838477042201</v>
      </c>
      <c r="N326" s="111">
        <f>SUM(N318:N325)</f>
        <v>1694.0634668441546</v>
      </c>
    </row>
    <row r="327" spans="3:15" x14ac:dyDescent="0.3">
      <c r="J327" s="99"/>
      <c r="K327" s="99"/>
      <c r="L327" s="99"/>
      <c r="M327" s="99"/>
      <c r="N327" s="99"/>
    </row>
    <row r="328" spans="3:15" x14ac:dyDescent="0.3">
      <c r="C328" s="2" t="str">
        <f t="shared" ref="C328:C334" si="202">C299</f>
        <v>other creditors and accruals</v>
      </c>
      <c r="J328" s="99"/>
      <c r="K328" s="99"/>
      <c r="L328" s="99"/>
      <c r="M328" s="99"/>
      <c r="N328" s="99"/>
    </row>
    <row r="329" spans="3:15" x14ac:dyDescent="0.3">
      <c r="C329" t="str">
        <f t="shared" si="202"/>
        <v>staff related accruals</v>
      </c>
      <c r="J329" s="99">
        <f>$J$300*J278</f>
        <v>99.629764028652886</v>
      </c>
      <c r="K329" s="99">
        <f t="shared" ref="K329:N329" si="203">$J$300*K278</f>
        <v>108.89365008482301</v>
      </c>
      <c r="L329" s="99">
        <f t="shared" si="203"/>
        <v>120.84150010236894</v>
      </c>
      <c r="M329" s="99">
        <f t="shared" si="203"/>
        <v>131.76966252091316</v>
      </c>
      <c r="N329" s="99">
        <f t="shared" si="203"/>
        <v>142.66741803347628</v>
      </c>
    </row>
    <row r="330" spans="3:15" x14ac:dyDescent="0.3">
      <c r="C330" t="str">
        <f t="shared" si="202"/>
        <v>warehouse and duty related accruals</v>
      </c>
      <c r="J330" s="99">
        <f>$J$301*J275</f>
        <v>138.05369456445092</v>
      </c>
      <c r="K330" s="99">
        <f t="shared" ref="K330:N330" si="204">$J$301*K275</f>
        <v>150.89035746882732</v>
      </c>
      <c r="L330" s="99">
        <f t="shared" si="204"/>
        <v>167.44610115752852</v>
      </c>
      <c r="M330" s="99">
        <f t="shared" si="204"/>
        <v>182.58889720235831</v>
      </c>
      <c r="N330" s="99">
        <f t="shared" si="204"/>
        <v>197.68955939540311</v>
      </c>
    </row>
    <row r="331" spans="3:15" x14ac:dyDescent="0.3">
      <c r="C331" t="str">
        <f t="shared" si="202"/>
        <v>property accruals</v>
      </c>
      <c r="J331" s="99">
        <f>J302</f>
        <v>37.85</v>
      </c>
      <c r="K331" s="99">
        <f>J331</f>
        <v>37.85</v>
      </c>
      <c r="L331" s="99">
        <f t="shared" ref="L331:N331" si="205">K331</f>
        <v>37.85</v>
      </c>
      <c r="M331" s="99">
        <f t="shared" si="205"/>
        <v>37.85</v>
      </c>
      <c r="N331" s="99">
        <f t="shared" si="205"/>
        <v>37.85</v>
      </c>
      <c r="O331" s="99"/>
    </row>
    <row r="332" spans="3:15" x14ac:dyDescent="0.3">
      <c r="C332" t="str">
        <f t="shared" si="202"/>
        <v>marketing accruals</v>
      </c>
      <c r="J332" s="99">
        <f>$J$303*J274</f>
        <v>15.51433044055252</v>
      </c>
      <c r="K332" s="99">
        <f t="shared" ref="K332:N332" si="206">$J$303*K274</f>
        <v>16.956901250995433</v>
      </c>
      <c r="L332" s="99">
        <f t="shared" si="206"/>
        <v>18.817418487321113</v>
      </c>
      <c r="M332" s="99">
        <f t="shared" si="206"/>
        <v>20.519150138723631</v>
      </c>
      <c r="N332" s="99">
        <f t="shared" si="206"/>
        <v>22.216146831736307</v>
      </c>
    </row>
    <row r="333" spans="3:15" x14ac:dyDescent="0.3">
      <c r="C333" t="str">
        <f t="shared" si="202"/>
        <v>unpaid interest on corporate bonds within accruals</v>
      </c>
      <c r="J333" s="99">
        <f>J304</f>
        <v>15.218609865470853</v>
      </c>
      <c r="K333" s="99">
        <f>J333</f>
        <v>15.218609865470853</v>
      </c>
      <c r="L333" s="99">
        <f t="shared" ref="L333:N333" si="207">K333</f>
        <v>15.218609865470853</v>
      </c>
      <c r="M333" s="99">
        <f t="shared" si="207"/>
        <v>15.218609865470853</v>
      </c>
      <c r="N333" s="99">
        <f t="shared" si="207"/>
        <v>15.218609865470853</v>
      </c>
      <c r="O333" s="99"/>
    </row>
    <row r="334" spans="3:15" x14ac:dyDescent="0.3">
      <c r="C334" t="str">
        <f t="shared" si="202"/>
        <v>Residual balance of accruals and other creditors</v>
      </c>
      <c r="J334" s="99">
        <f>J305</f>
        <v>201.90000000000003</v>
      </c>
      <c r="K334" s="99">
        <f>J334</f>
        <v>201.90000000000003</v>
      </c>
      <c r="L334" s="99">
        <f t="shared" ref="L334:N334" si="208">K334</f>
        <v>201.90000000000003</v>
      </c>
      <c r="M334" s="99">
        <f t="shared" si="208"/>
        <v>201.90000000000003</v>
      </c>
      <c r="N334" s="99">
        <f t="shared" si="208"/>
        <v>201.90000000000003</v>
      </c>
    </row>
    <row r="335" spans="3:15" x14ac:dyDescent="0.3">
      <c r="C335" s="2" t="s">
        <v>113</v>
      </c>
      <c r="J335" s="111">
        <f>SUM(J329:J334)</f>
        <v>508.16639889912722</v>
      </c>
      <c r="K335" s="111">
        <f t="shared" ref="K335:N335" si="209">SUM(K329:K334)</f>
        <v>531.70951867011672</v>
      </c>
      <c r="L335" s="111">
        <f t="shared" si="209"/>
        <v>562.0736296126895</v>
      </c>
      <c r="M335" s="111">
        <f t="shared" si="209"/>
        <v>589.84631972746593</v>
      </c>
      <c r="N335" s="111">
        <f t="shared" si="209"/>
        <v>617.54173412608657</v>
      </c>
    </row>
    <row r="336" spans="3:15" x14ac:dyDescent="0.3">
      <c r="C336" s="2"/>
      <c r="J336" s="126"/>
      <c r="K336" s="126"/>
      <c r="L336" s="126"/>
      <c r="M336" s="126"/>
      <c r="N336" s="126"/>
    </row>
    <row r="338" spans="2:16" s="127" customFormat="1" ht="15" thickBot="1" x14ac:dyDescent="0.35">
      <c r="C338" s="210" t="s">
        <v>806</v>
      </c>
      <c r="D338" s="210"/>
      <c r="E338" s="210"/>
      <c r="F338" s="210"/>
      <c r="G338" s="210"/>
      <c r="H338" s="210"/>
      <c r="I338" s="210"/>
      <c r="J338" s="210"/>
      <c r="K338" s="210"/>
      <c r="L338" s="210"/>
      <c r="M338" s="210"/>
      <c r="N338" s="210"/>
    </row>
    <row r="340" spans="2:16" x14ac:dyDescent="0.3">
      <c r="C340" t="str">
        <f>C186</f>
        <v xml:space="preserve">Property Plant &amp; Equipment </v>
      </c>
      <c r="I340">
        <f>I186</f>
        <v>667.7</v>
      </c>
      <c r="J340" s="100">
        <f>J368</f>
        <v>805.97482530485331</v>
      </c>
      <c r="K340" s="100">
        <f t="shared" ref="K340:N340" si="210">K368</f>
        <v>921.74267379496348</v>
      </c>
      <c r="L340" s="100">
        <f t="shared" si="210"/>
        <v>1018.6670034007424</v>
      </c>
      <c r="M340" s="100">
        <f t="shared" si="210"/>
        <v>1099.8149714424237</v>
      </c>
      <c r="N340" s="100">
        <f t="shared" si="210"/>
        <v>1250.0732526189636</v>
      </c>
    </row>
    <row r="341" spans="2:16" x14ac:dyDescent="0.3">
      <c r="C341" t="str">
        <f>C187</f>
        <v>Intangible Assets</v>
      </c>
      <c r="I341">
        <f>I187</f>
        <v>713.7</v>
      </c>
      <c r="J341" s="100">
        <f>J384</f>
        <v>705.53739239523645</v>
      </c>
      <c r="K341" s="100">
        <f t="shared" ref="K341:N341" si="211">K384</f>
        <v>698.07480339633798</v>
      </c>
      <c r="L341" s="100">
        <f t="shared" si="211"/>
        <v>691.25219997559043</v>
      </c>
      <c r="M341" s="100">
        <f t="shared" si="211"/>
        <v>685.01469748903151</v>
      </c>
      <c r="N341" s="100">
        <f t="shared" si="211"/>
        <v>696.99335994549983</v>
      </c>
    </row>
    <row r="342" spans="2:16" x14ac:dyDescent="0.3">
      <c r="C342" t="str">
        <f>C188</f>
        <v xml:space="preserve">Right-of-Use Assets </v>
      </c>
      <c r="I342">
        <f>I188</f>
        <v>733.1</v>
      </c>
      <c r="J342" s="100">
        <f>J377</f>
        <v>713.20681325477403</v>
      </c>
      <c r="K342" s="100">
        <f t="shared" ref="K342:M342" si="212">K377</f>
        <v>705.84064603961838</v>
      </c>
      <c r="L342" s="100">
        <f t="shared" si="212"/>
        <v>711.19470930641648</v>
      </c>
      <c r="M342" s="100">
        <f t="shared" si="212"/>
        <v>725.91181032532222</v>
      </c>
      <c r="N342" s="100">
        <f t="shared" ref="N342" si="213">N377</f>
        <v>748.20410787063486</v>
      </c>
    </row>
    <row r="343" spans="2:16" x14ac:dyDescent="0.3">
      <c r="C343" t="str">
        <f>C189</f>
        <v>Associates, joint ventures and other investments</v>
      </c>
      <c r="I343">
        <f>I189</f>
        <v>35.200000000000003</v>
      </c>
      <c r="J343" s="100">
        <f>J391</f>
        <v>40.999742325626315</v>
      </c>
      <c r="K343" s="100">
        <f t="shared" ref="K343:N343" si="214">K391</f>
        <v>47.755081555902095</v>
      </c>
      <c r="L343" s="100">
        <f t="shared" si="214"/>
        <v>55.623467003728848</v>
      </c>
      <c r="M343" s="100">
        <f t="shared" si="214"/>
        <v>64.788290182126701</v>
      </c>
      <c r="N343" s="100">
        <f t="shared" si="214"/>
        <v>75.463159181394872</v>
      </c>
    </row>
    <row r="344" spans="2:16" x14ac:dyDescent="0.3"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</row>
    <row r="345" spans="2:16" x14ac:dyDescent="0.3">
      <c r="C345" t="str">
        <f>ASSUMPTIONS!C114</f>
        <v>Capex % Revenue</v>
      </c>
      <c r="M345" s="142">
        <f>ASSUMPTIONS!M114</f>
        <v>3.1621516782440101E-2</v>
      </c>
      <c r="N345" s="142">
        <f>ASSUMPTIONS!N114</f>
        <v>2.9760321302868143E-2</v>
      </c>
    </row>
    <row r="346" spans="2:16" x14ac:dyDescent="0.3">
      <c r="C346" t="str">
        <f>ASSUMPTIONS!C115</f>
        <v>Capex ($)</v>
      </c>
      <c r="J346" s="82">
        <f>SCENARIOS!J71</f>
        <v>300</v>
      </c>
      <c r="K346" s="82">
        <f>SCENARIOS!K71</f>
        <v>300</v>
      </c>
      <c r="L346" s="82">
        <f>SCENARIOS!L71</f>
        <v>300</v>
      </c>
      <c r="M346" s="82">
        <f>SCENARIOS!M71</f>
        <v>300</v>
      </c>
      <c r="N346" s="82">
        <f>SCENARIOS!N71</f>
        <v>400</v>
      </c>
    </row>
    <row r="348" spans="2:16" x14ac:dyDescent="0.3">
      <c r="C348" s="2" t="str">
        <f>ASSUMPTIONS!C117</f>
        <v>D&amp;A Prior year PP&amp;E and intangible assets</v>
      </c>
    </row>
    <row r="349" spans="2:16" x14ac:dyDescent="0.3">
      <c r="C349" t="str">
        <f>ASSUMPTIONS!C118</f>
        <v>Dep as a % of prior year PPE</v>
      </c>
      <c r="J349" s="104">
        <f>ASSUMPTIONS!J118</f>
        <v>0.1627698806714972</v>
      </c>
    </row>
    <row r="350" spans="2:16" x14ac:dyDescent="0.3">
      <c r="C350" t="str">
        <f>ASSUMPTIONS!C119</f>
        <v>Dep as a % of prior year ROU</v>
      </c>
      <c r="J350" s="104">
        <f>ASSUMPTIONS!J119</f>
        <v>0.1878653628545508</v>
      </c>
    </row>
    <row r="351" spans="2:16" x14ac:dyDescent="0.3">
      <c r="C351" t="str">
        <f>ASSUMPTIONS!C120</f>
        <v>amortisation as a % of intangibles excld software</v>
      </c>
      <c r="J351" s="104">
        <f>ASSUMPTIONS!J120</f>
        <v>5.0972390647897395E-2</v>
      </c>
    </row>
    <row r="352" spans="2:16" x14ac:dyDescent="0.3">
      <c r="C352" t="str">
        <f>ASSUMPTIONS!C121</f>
        <v>amortisation as a % of  software</v>
      </c>
      <c r="J352" s="104">
        <f>ASSUMPTIONS!J121</f>
        <v>0.3656861860697353</v>
      </c>
    </row>
    <row r="353" spans="2:16" x14ac:dyDescent="0.3">
      <c r="C353" t="str">
        <f>ASSUMPTIONS!C122</f>
        <v>Amortisation as a % of intangibles incld Software</v>
      </c>
      <c r="J353" s="104">
        <f>ASSUMPTIONS!J122</f>
        <v>0.13963822156717098</v>
      </c>
    </row>
    <row r="354" spans="2:16" x14ac:dyDescent="0.3">
      <c r="C354" t="str">
        <f>ASSUMPTIONS!C123</f>
        <v>% of intangible excld software</v>
      </c>
      <c r="J354" s="104">
        <f>ASSUMPTIONS!J123</f>
        <v>0.88946529018220666</v>
      </c>
    </row>
    <row r="355" spans="2:16" x14ac:dyDescent="0.3">
      <c r="C355" t="str">
        <f>ASSUMPTIONS!C124</f>
        <v>% of software</v>
      </c>
      <c r="J355" s="104">
        <f>ASSUMPTIONS!J124</f>
        <v>0.11053470981779333</v>
      </c>
    </row>
    <row r="356" spans="2:16" x14ac:dyDescent="0.3">
      <c r="C356" s="2" t="str">
        <f>ASSUMPTIONS!C125</f>
        <v>Total Capex incld software</v>
      </c>
      <c r="J356" s="60"/>
    </row>
    <row r="357" spans="2:16" x14ac:dyDescent="0.3">
      <c r="C357" t="str">
        <f>ASSUMPTIONS!C126</f>
        <v>as a % of PPE</v>
      </c>
      <c r="J357" s="104">
        <f>ASSUMPTIONS!J126</f>
        <v>0.82318758209737308</v>
      </c>
    </row>
    <row r="358" spans="2:16" x14ac:dyDescent="0.3">
      <c r="C358" t="str">
        <f>ASSUMPTIONS!C127</f>
        <v>As a % of intangible</v>
      </c>
      <c r="J358" s="104">
        <f>ASSUMPTIONS!J127</f>
        <v>0.17681241790262681</v>
      </c>
    </row>
    <row r="359" spans="2:16" x14ac:dyDescent="0.3">
      <c r="C359" t="str">
        <f>ASSUMPTIONS!C129</f>
        <v>ROU additions as a % of revenue</v>
      </c>
      <c r="J359" s="144">
        <f>ASSUMPTIONS!J129</f>
        <v>1.2992682325098065E-2</v>
      </c>
    </row>
    <row r="360" spans="2:16" x14ac:dyDescent="0.3">
      <c r="J360" s="143"/>
    </row>
    <row r="361" spans="2:16" x14ac:dyDescent="0.3"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</row>
    <row r="364" spans="2:16" x14ac:dyDescent="0.3">
      <c r="C364" s="2" t="str">
        <f>C340</f>
        <v xml:space="preserve">Property Plant &amp; Equipment </v>
      </c>
      <c r="J364" s="100"/>
      <c r="K364" s="100"/>
      <c r="L364" s="100"/>
      <c r="M364" s="100"/>
      <c r="N364" s="100"/>
    </row>
    <row r="365" spans="2:16" x14ac:dyDescent="0.3">
      <c r="B365" t="s">
        <v>341</v>
      </c>
      <c r="C365" t="s">
        <v>902</v>
      </c>
      <c r="J365" s="100">
        <f>I368</f>
        <v>667.7</v>
      </c>
      <c r="K365" s="100">
        <f t="shared" ref="K365:N365" si="215">J368</f>
        <v>805.97482530485331</v>
      </c>
      <c r="L365" s="100">
        <f t="shared" si="215"/>
        <v>921.74267379496348</v>
      </c>
      <c r="M365" s="100">
        <f t="shared" si="215"/>
        <v>1018.6670034007424</v>
      </c>
      <c r="N365" s="100">
        <f t="shared" si="215"/>
        <v>1099.8149714424237</v>
      </c>
    </row>
    <row r="366" spans="2:16" x14ac:dyDescent="0.3">
      <c r="B366" t="s">
        <v>342</v>
      </c>
      <c r="C366" t="s">
        <v>1096</v>
      </c>
      <c r="J366" s="100">
        <f>$J$357*J346</f>
        <v>246.95627462921192</v>
      </c>
      <c r="K366" s="100">
        <f>$J$357*K346</f>
        <v>246.95627462921192</v>
      </c>
      <c r="L366" s="100">
        <f>$J$357*L346</f>
        <v>246.95627462921192</v>
      </c>
      <c r="M366" s="100">
        <f>$J$357*M346</f>
        <v>246.95627462921192</v>
      </c>
      <c r="N366" s="100">
        <f>$J$357*N346</f>
        <v>329.27503283894924</v>
      </c>
    </row>
    <row r="367" spans="2:16" x14ac:dyDescent="0.3">
      <c r="B367" t="s">
        <v>343</v>
      </c>
      <c r="C367" t="s">
        <v>279</v>
      </c>
      <c r="J367" s="100">
        <f>$J$349*I340</f>
        <v>108.68144932435868</v>
      </c>
      <c r="K367" s="100">
        <f>$J$349*J340</f>
        <v>131.18842613910178</v>
      </c>
      <c r="L367" s="100">
        <f>$J$349*K340</f>
        <v>150.03194502343297</v>
      </c>
      <c r="M367" s="100">
        <f>$J$349*L340</f>
        <v>165.80830658753047</v>
      </c>
      <c r="N367" s="100">
        <f>$J$349*M340</f>
        <v>179.0167516624094</v>
      </c>
    </row>
    <row r="368" spans="2:16" x14ac:dyDescent="0.3">
      <c r="B368" t="s">
        <v>344</v>
      </c>
      <c r="C368" t="s">
        <v>903</v>
      </c>
      <c r="I368">
        <f>I340</f>
        <v>667.7</v>
      </c>
      <c r="J368" s="57">
        <f>J365+J366-J367</f>
        <v>805.97482530485331</v>
      </c>
      <c r="K368" s="57">
        <f t="shared" ref="K368:N368" si="216">K365+K366-K367</f>
        <v>921.74267379496348</v>
      </c>
      <c r="L368" s="57">
        <f t="shared" si="216"/>
        <v>1018.6670034007424</v>
      </c>
      <c r="M368" s="57">
        <f t="shared" si="216"/>
        <v>1099.8149714424237</v>
      </c>
      <c r="N368" s="57">
        <f t="shared" si="216"/>
        <v>1250.0732526189636</v>
      </c>
    </row>
    <row r="369" spans="2:14" x14ac:dyDescent="0.3">
      <c r="J369" s="100"/>
      <c r="K369" s="100"/>
      <c r="L369" s="100"/>
      <c r="M369" s="100"/>
      <c r="N369" s="100"/>
    </row>
    <row r="370" spans="2:14" x14ac:dyDescent="0.3">
      <c r="J370" s="100"/>
      <c r="K370" s="100"/>
      <c r="L370" s="100"/>
      <c r="M370" s="100"/>
      <c r="N370" s="100"/>
    </row>
    <row r="371" spans="2:14" x14ac:dyDescent="0.3">
      <c r="C371" s="2" t="str">
        <f>C342</f>
        <v xml:space="preserve">Right-of-Use Assets </v>
      </c>
      <c r="J371" s="100"/>
      <c r="K371" s="100"/>
      <c r="L371" s="100"/>
      <c r="M371" s="100"/>
      <c r="N371" s="100"/>
    </row>
    <row r="372" spans="2:14" x14ac:dyDescent="0.3">
      <c r="B372" t="s">
        <v>341</v>
      </c>
      <c r="C372" t="s">
        <v>902</v>
      </c>
      <c r="J372" s="100">
        <f>I377</f>
        <v>733.1</v>
      </c>
      <c r="K372" s="100">
        <f t="shared" ref="K372:N372" si="217">J377</f>
        <v>713.20681325477403</v>
      </c>
      <c r="L372" s="100">
        <f t="shared" si="217"/>
        <v>705.84064603961838</v>
      </c>
      <c r="M372" s="100">
        <f t="shared" si="217"/>
        <v>711.19470930641648</v>
      </c>
      <c r="N372" s="100">
        <f t="shared" si="217"/>
        <v>725.91181032532222</v>
      </c>
    </row>
    <row r="373" spans="2:14" x14ac:dyDescent="0.3">
      <c r="B373" t="s">
        <v>342</v>
      </c>
      <c r="C373" t="s">
        <v>363</v>
      </c>
      <c r="J373" s="100">
        <f>ABS(J395)</f>
        <v>94.530910763445306</v>
      </c>
      <c r="K373" s="100">
        <f t="shared" ref="K373:N373" si="218">ABS(K395)</f>
        <v>103.32068954729034</v>
      </c>
      <c r="L373" s="100">
        <f t="shared" si="218"/>
        <v>114.65707235252157</v>
      </c>
      <c r="M373" s="100">
        <f t="shared" si="218"/>
        <v>125.02595314299238</v>
      </c>
      <c r="N373" s="100">
        <f t="shared" si="218"/>
        <v>135.36598319248318</v>
      </c>
    </row>
    <row r="374" spans="2:14" x14ac:dyDescent="0.3">
      <c r="C374" t="str">
        <f>C755</f>
        <v>Modifications and amendments</v>
      </c>
      <c r="J374" s="99">
        <f>-J755</f>
        <v>31.3</v>
      </c>
      <c r="K374" s="99">
        <f t="shared" ref="K374:N374" si="219">-K755</f>
        <v>31.3</v>
      </c>
      <c r="L374" s="99">
        <f t="shared" si="219"/>
        <v>31.3</v>
      </c>
      <c r="M374" s="99">
        <f t="shared" si="219"/>
        <v>31.3</v>
      </c>
      <c r="N374" s="99">
        <f t="shared" si="219"/>
        <v>31.3</v>
      </c>
    </row>
    <row r="375" spans="2:14" x14ac:dyDescent="0.3">
      <c r="C375" t="str">
        <f>C758</f>
        <v>Disposals</v>
      </c>
      <c r="J375" s="99">
        <f>J758</f>
        <v>8</v>
      </c>
      <c r="K375" s="99">
        <f>K758</f>
        <v>8</v>
      </c>
      <c r="L375" s="99">
        <f t="shared" ref="L375:N375" si="220">L758</f>
        <v>8</v>
      </c>
      <c r="M375" s="99">
        <f t="shared" si="220"/>
        <v>8</v>
      </c>
      <c r="N375" s="99">
        <f t="shared" si="220"/>
        <v>8</v>
      </c>
    </row>
    <row r="376" spans="2:14" x14ac:dyDescent="0.3">
      <c r="B376" t="s">
        <v>343</v>
      </c>
      <c r="C376" t="s">
        <v>279</v>
      </c>
      <c r="J376" s="100">
        <f>$J$350*I342</f>
        <v>137.72409750867121</v>
      </c>
      <c r="K376" s="100">
        <f>$J$350*J342</f>
        <v>133.98685676244597</v>
      </c>
      <c r="L376" s="100">
        <f>$J$350*K342</f>
        <v>132.60300908572347</v>
      </c>
      <c r="M376" s="100">
        <f>$J$350*L342</f>
        <v>133.6088521240867</v>
      </c>
      <c r="N376" s="100">
        <f>$J$350*M342</f>
        <v>136.3736856471705</v>
      </c>
    </row>
    <row r="377" spans="2:14" x14ac:dyDescent="0.3">
      <c r="B377" t="s">
        <v>344</v>
      </c>
      <c r="C377" t="s">
        <v>903</v>
      </c>
      <c r="I377" s="2">
        <f>I342</f>
        <v>733.1</v>
      </c>
      <c r="J377" s="57">
        <f>J372+J373+J374-J375-J376</f>
        <v>713.20681325477403</v>
      </c>
      <c r="K377" s="57">
        <f t="shared" ref="K377:N377" si="221">K372+K373+K374-K375-K376</f>
        <v>705.84064603961838</v>
      </c>
      <c r="L377" s="57">
        <f t="shared" si="221"/>
        <v>711.19470930641648</v>
      </c>
      <c r="M377" s="57">
        <f t="shared" si="221"/>
        <v>725.91181032532222</v>
      </c>
      <c r="N377" s="57">
        <f t="shared" si="221"/>
        <v>748.20410787063486</v>
      </c>
    </row>
    <row r="378" spans="2:14" x14ac:dyDescent="0.3">
      <c r="J378" s="100"/>
      <c r="K378" s="100"/>
      <c r="L378" s="100"/>
      <c r="M378" s="100"/>
      <c r="N378" s="100"/>
    </row>
    <row r="379" spans="2:14" x14ac:dyDescent="0.3">
      <c r="J379" s="100"/>
      <c r="K379" s="100"/>
      <c r="L379" s="100"/>
      <c r="M379" s="100"/>
      <c r="N379" s="100"/>
    </row>
    <row r="380" spans="2:14" x14ac:dyDescent="0.3">
      <c r="C380" s="2" t="str">
        <f>C341</f>
        <v>Intangible Assets</v>
      </c>
      <c r="J380" s="100"/>
      <c r="K380" s="100"/>
      <c r="L380" s="100"/>
      <c r="M380" s="100"/>
      <c r="N380" s="100"/>
    </row>
    <row r="381" spans="2:14" x14ac:dyDescent="0.3">
      <c r="B381" t="s">
        <v>341</v>
      </c>
      <c r="C381" t="s">
        <v>902</v>
      </c>
      <c r="J381" s="100">
        <f>I384</f>
        <v>713.7</v>
      </c>
      <c r="K381" s="100">
        <f t="shared" ref="K381:M381" si="222">J384</f>
        <v>705.53739239523645</v>
      </c>
      <c r="L381" s="100">
        <f t="shared" si="222"/>
        <v>698.07480339633798</v>
      </c>
      <c r="M381" s="100">
        <f t="shared" si="222"/>
        <v>691.25219997559043</v>
      </c>
      <c r="N381" s="100">
        <f t="shared" ref="N381" si="223">M384</f>
        <v>685.01469748903151</v>
      </c>
    </row>
    <row r="382" spans="2:14" x14ac:dyDescent="0.3">
      <c r="B382" t="s">
        <v>342</v>
      </c>
      <c r="C382" t="s">
        <v>657</v>
      </c>
      <c r="J382" s="100">
        <f>$J$358*J346</f>
        <v>53.043725370788039</v>
      </c>
      <c r="K382" s="100">
        <f>$J$358*K346</f>
        <v>53.043725370788039</v>
      </c>
      <c r="L382" s="100">
        <f>$J$358*L346</f>
        <v>53.043725370788039</v>
      </c>
      <c r="M382" s="100">
        <f>$J$358*M346</f>
        <v>53.043725370788039</v>
      </c>
      <c r="N382" s="100">
        <f>$J$358*N346</f>
        <v>70.724967161050728</v>
      </c>
    </row>
    <row r="383" spans="2:14" x14ac:dyDescent="0.3">
      <c r="B383" t="s">
        <v>343</v>
      </c>
      <c r="C383" t="s">
        <v>281</v>
      </c>
      <c r="J383" s="100">
        <f>J404</f>
        <v>61.206332975551575</v>
      </c>
      <c r="K383" s="100">
        <f t="shared" ref="K383:N383" si="224">K404</f>
        <v>60.506314369686464</v>
      </c>
      <c r="L383" s="100">
        <f t="shared" si="224"/>
        <v>59.866328791535608</v>
      </c>
      <c r="M383" s="100">
        <f t="shared" si="224"/>
        <v>59.281227857346998</v>
      </c>
      <c r="N383" s="100">
        <f t="shared" si="224"/>
        <v>58.746304704582315</v>
      </c>
    </row>
    <row r="384" spans="2:14" x14ac:dyDescent="0.3">
      <c r="B384" t="s">
        <v>344</v>
      </c>
      <c r="C384" t="s">
        <v>903</v>
      </c>
      <c r="I384" s="2">
        <f>I341</f>
        <v>713.7</v>
      </c>
      <c r="J384" s="57">
        <f>J381+J382-J383</f>
        <v>705.53739239523645</v>
      </c>
      <c r="K384" s="57">
        <f t="shared" ref="K384:N384" si="225">K381+K382-K383</f>
        <v>698.07480339633798</v>
      </c>
      <c r="L384" s="57">
        <f t="shared" si="225"/>
        <v>691.25219997559043</v>
      </c>
      <c r="M384" s="57">
        <f t="shared" si="225"/>
        <v>685.01469748903151</v>
      </c>
      <c r="N384" s="57">
        <f t="shared" si="225"/>
        <v>696.99335994549983</v>
      </c>
    </row>
    <row r="385" spans="2:14" x14ac:dyDescent="0.3">
      <c r="J385" s="100"/>
      <c r="K385" s="100"/>
      <c r="L385" s="100"/>
      <c r="M385" s="100"/>
      <c r="N385" s="100"/>
    </row>
    <row r="386" spans="2:14" x14ac:dyDescent="0.3">
      <c r="J386" s="100"/>
      <c r="K386" s="100"/>
      <c r="L386" s="100"/>
      <c r="M386" s="100"/>
      <c r="N386" s="100"/>
    </row>
    <row r="387" spans="2:14" x14ac:dyDescent="0.3">
      <c r="C387" s="2" t="str">
        <f>C343</f>
        <v>Associates, joint ventures and other investments</v>
      </c>
      <c r="J387" s="100"/>
      <c r="K387" s="100"/>
      <c r="L387" s="100"/>
      <c r="M387" s="100"/>
      <c r="N387" s="100"/>
    </row>
    <row r="388" spans="2:14" x14ac:dyDescent="0.3">
      <c r="B388" t="s">
        <v>341</v>
      </c>
      <c r="C388" t="s">
        <v>902</v>
      </c>
      <c r="J388" s="100">
        <f>I391</f>
        <v>35.200000000000003</v>
      </c>
      <c r="K388" s="100">
        <f t="shared" ref="K388:M388" si="226">J391</f>
        <v>40.999742325626315</v>
      </c>
      <c r="L388" s="100">
        <f t="shared" si="226"/>
        <v>47.755081555902095</v>
      </c>
      <c r="M388" s="100">
        <f t="shared" si="226"/>
        <v>55.623467003728848</v>
      </c>
      <c r="N388" s="100">
        <f t="shared" ref="N388" si="227">M391</f>
        <v>64.788290182126701</v>
      </c>
    </row>
    <row r="389" spans="2:14" x14ac:dyDescent="0.3">
      <c r="B389" t="s">
        <v>342</v>
      </c>
      <c r="C389" t="str">
        <f>C25</f>
        <v>share of results of associates and joint ventures</v>
      </c>
      <c r="I389">
        <f>I25</f>
        <v>7.9</v>
      </c>
      <c r="J389" s="100">
        <f>ASSUMPTIONS!J69</f>
        <v>5.7997423256263101</v>
      </c>
      <c r="K389" s="100">
        <f>ASSUMPTIONS!K69</f>
        <v>6.7553392302757791</v>
      </c>
      <c r="L389" s="100">
        <f>ASSUMPTIONS!L69</f>
        <v>7.8683854478267534</v>
      </c>
      <c r="M389" s="100">
        <f>ASSUMPTIONS!M69</f>
        <v>9.1648231783978602</v>
      </c>
      <c r="N389" s="100">
        <f>ASSUMPTIONS!N69</f>
        <v>10.674868999268174</v>
      </c>
    </row>
    <row r="390" spans="2:14" x14ac:dyDescent="0.3">
      <c r="B390" t="s">
        <v>343</v>
      </c>
      <c r="C390" t="str">
        <f>ASSUMPTIONS!C134</f>
        <v>Impairment run-rate</v>
      </c>
      <c r="J390" s="100">
        <f>J26</f>
        <v>0</v>
      </c>
      <c r="K390" s="100">
        <f>K26</f>
        <v>0</v>
      </c>
      <c r="L390" s="100">
        <f>L26</f>
        <v>0</v>
      </c>
      <c r="M390" s="100">
        <f>M26</f>
        <v>0</v>
      </c>
      <c r="N390" s="100">
        <f>-M26</f>
        <v>0</v>
      </c>
    </row>
    <row r="391" spans="2:14" x14ac:dyDescent="0.3">
      <c r="B391" t="s">
        <v>344</v>
      </c>
      <c r="C391" t="s">
        <v>903</v>
      </c>
      <c r="I391">
        <f>I189</f>
        <v>35.200000000000003</v>
      </c>
      <c r="J391" s="111">
        <f>J388+J389-J390</f>
        <v>40.999742325626315</v>
      </c>
      <c r="K391" s="111">
        <f t="shared" ref="K391:M391" si="228">K388+K389-K390</f>
        <v>47.755081555902095</v>
      </c>
      <c r="L391" s="111">
        <f t="shared" si="228"/>
        <v>55.623467003728848</v>
      </c>
      <c r="M391" s="111">
        <f t="shared" si="228"/>
        <v>64.788290182126701</v>
      </c>
      <c r="N391" s="111">
        <f t="shared" ref="N391" si="229">N388+N389-N390</f>
        <v>75.463159181394872</v>
      </c>
    </row>
    <row r="394" spans="2:14" x14ac:dyDescent="0.3">
      <c r="C394" s="2" t="s">
        <v>280</v>
      </c>
    </row>
    <row r="395" spans="2:14" x14ac:dyDescent="0.3">
      <c r="C395" t="s">
        <v>1098</v>
      </c>
      <c r="J395" s="56">
        <f>$J$359*J17</f>
        <v>94.530910763445306</v>
      </c>
      <c r="K395" s="56">
        <f>$J$359*K17</f>
        <v>103.32068954729034</v>
      </c>
      <c r="L395" s="56">
        <f>$J$359*L17</f>
        <v>114.65707235252157</v>
      </c>
      <c r="M395" s="56">
        <f>$J$359*M17</f>
        <v>125.02595314299238</v>
      </c>
      <c r="N395" s="56">
        <f>$J$359*N17</f>
        <v>135.36598319248318</v>
      </c>
    </row>
    <row r="396" spans="2:14" x14ac:dyDescent="0.3">
      <c r="J396" s="100"/>
      <c r="K396" s="100"/>
      <c r="L396" s="100"/>
      <c r="M396" s="100"/>
      <c r="N396" s="100"/>
    </row>
    <row r="397" spans="2:14" x14ac:dyDescent="0.3">
      <c r="C397" s="2" t="s">
        <v>521</v>
      </c>
      <c r="J397" s="100"/>
      <c r="K397" s="100"/>
      <c r="L397" s="100"/>
      <c r="M397" s="100"/>
      <c r="N397" s="100"/>
    </row>
    <row r="398" spans="2:14" x14ac:dyDescent="0.3">
      <c r="C398" t="str">
        <f>C354</f>
        <v>% of intangible excld software</v>
      </c>
      <c r="H398" s="100"/>
      <c r="I398" s="100">
        <f t="shared" ref="I398:N398" si="230">$J$354*I400</f>
        <v>634.81137760304091</v>
      </c>
      <c r="J398" s="100">
        <f t="shared" si="230"/>
        <v>627.55102146122636</v>
      </c>
      <c r="K398" s="100">
        <f t="shared" si="230"/>
        <v>620.91330757181061</v>
      </c>
      <c r="L398" s="100">
        <f t="shared" si="230"/>
        <v>614.84483864037725</v>
      </c>
      <c r="M398" s="100">
        <f t="shared" si="230"/>
        <v>609.29679668115796</v>
      </c>
      <c r="N398" s="100">
        <f t="shared" si="230"/>
        <v>619.95140115899517</v>
      </c>
    </row>
    <row r="399" spans="2:14" x14ac:dyDescent="0.3">
      <c r="C399" t="str">
        <f>C355</f>
        <v>% of software</v>
      </c>
      <c r="H399" s="100"/>
      <c r="I399" s="100">
        <f t="shared" ref="I399:N399" si="231">$J$355*I400</f>
        <v>78.888622396959107</v>
      </c>
      <c r="J399" s="100">
        <f t="shared" si="231"/>
        <v>77.98637093401004</v>
      </c>
      <c r="K399" s="100">
        <f t="shared" si="231"/>
        <v>77.16149582452735</v>
      </c>
      <c r="L399" s="100">
        <f t="shared" si="231"/>
        <v>76.407361335213139</v>
      </c>
      <c r="M399" s="100">
        <f t="shared" si="231"/>
        <v>75.717900807873576</v>
      </c>
      <c r="N399" s="100">
        <f t="shared" si="231"/>
        <v>77.041958786504594</v>
      </c>
    </row>
    <row r="400" spans="2:14" x14ac:dyDescent="0.3">
      <c r="H400" s="2"/>
      <c r="I400" s="2">
        <f t="shared" ref="I400:N400" si="232">I341</f>
        <v>713.7</v>
      </c>
      <c r="J400" s="111">
        <f t="shared" si="232"/>
        <v>705.53739239523645</v>
      </c>
      <c r="K400" s="111">
        <f t="shared" si="232"/>
        <v>698.07480339633798</v>
      </c>
      <c r="L400" s="111">
        <f t="shared" si="232"/>
        <v>691.25219997559043</v>
      </c>
      <c r="M400" s="111">
        <f t="shared" si="232"/>
        <v>685.01469748903151</v>
      </c>
      <c r="N400" s="111">
        <f t="shared" si="232"/>
        <v>696.99335994549983</v>
      </c>
    </row>
    <row r="401" spans="1:26" x14ac:dyDescent="0.3">
      <c r="K401" s="99"/>
      <c r="L401" s="99"/>
      <c r="M401" s="99"/>
      <c r="N401" s="99"/>
    </row>
    <row r="402" spans="1:26" x14ac:dyDescent="0.3">
      <c r="C402" t="str">
        <f>C351</f>
        <v>amortisation as a % of intangibles excld software</v>
      </c>
      <c r="J402" s="99">
        <f>$J$351*I398</f>
        <v>32.357853526912102</v>
      </c>
      <c r="K402" s="99">
        <f>$J$351*J398</f>
        <v>31.987775817408671</v>
      </c>
      <c r="L402" s="99">
        <f>$J$351*K398</f>
        <v>31.649435672028396</v>
      </c>
      <c r="M402" s="99">
        <f>$J$351*L398</f>
        <v>31.340111303020748</v>
      </c>
      <c r="N402" s="99">
        <f>$J$351*M398</f>
        <v>31.057314340944497</v>
      </c>
    </row>
    <row r="403" spans="1:26" x14ac:dyDescent="0.3">
      <c r="C403" t="str">
        <f>C352</f>
        <v>amortisation as a % of  software</v>
      </c>
      <c r="J403" s="99">
        <f>I399*$J$352</f>
        <v>28.848479448639477</v>
      </c>
      <c r="K403" s="99">
        <f>J399*$J$352</f>
        <v>28.518538552277793</v>
      </c>
      <c r="L403" s="99">
        <f>K399*$J$352</f>
        <v>28.216893119507212</v>
      </c>
      <c r="M403" s="99">
        <f>L399*$J$352</f>
        <v>27.94111655432625</v>
      </c>
      <c r="N403" s="99">
        <f>M399*$J$352</f>
        <v>27.688990363637817</v>
      </c>
    </row>
    <row r="404" spans="1:26" x14ac:dyDescent="0.3">
      <c r="C404" s="2" t="s">
        <v>281</v>
      </c>
      <c r="J404" s="111">
        <f>SUM(J402:J403)</f>
        <v>61.206332975551575</v>
      </c>
      <c r="K404" s="111">
        <f t="shared" ref="K404:N404" si="233">SUM(K402:K403)</f>
        <v>60.506314369686464</v>
      </c>
      <c r="L404" s="111">
        <f t="shared" si="233"/>
        <v>59.866328791535608</v>
      </c>
      <c r="M404" s="111">
        <f t="shared" si="233"/>
        <v>59.281227857346998</v>
      </c>
      <c r="N404" s="111">
        <f t="shared" si="233"/>
        <v>58.746304704582315</v>
      </c>
      <c r="O404" s="126"/>
    </row>
    <row r="409" spans="1:26" ht="21.6" thickBot="1" x14ac:dyDescent="0.45">
      <c r="A409" s="127"/>
      <c r="B409" s="127"/>
      <c r="C409" s="208" t="s">
        <v>107</v>
      </c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</row>
    <row r="411" spans="1:26" x14ac:dyDescent="0.3">
      <c r="A411" t="s">
        <v>326</v>
      </c>
      <c r="C411" t="str">
        <f>C192</f>
        <v>Deferred Tax Assets</v>
      </c>
      <c r="I411">
        <f>I192</f>
        <v>0</v>
      </c>
      <c r="J411">
        <f>I411</f>
        <v>0</v>
      </c>
      <c r="K411">
        <f t="shared" ref="K411:N411" si="234">J411</f>
        <v>0</v>
      </c>
      <c r="L411">
        <f t="shared" si="234"/>
        <v>0</v>
      </c>
      <c r="M411">
        <f t="shared" si="234"/>
        <v>0</v>
      </c>
      <c r="N411">
        <f t="shared" si="234"/>
        <v>0</v>
      </c>
    </row>
    <row r="412" spans="1:26" x14ac:dyDescent="0.3">
      <c r="A412" t="s">
        <v>917</v>
      </c>
      <c r="C412" t="str">
        <f>C201</f>
        <v>current  tax assets</v>
      </c>
      <c r="I412">
        <f>I201</f>
        <v>0</v>
      </c>
      <c r="J412">
        <f>I412</f>
        <v>0</v>
      </c>
      <c r="K412">
        <f t="shared" ref="K412:N412" si="235">J412</f>
        <v>0</v>
      </c>
      <c r="L412">
        <f t="shared" si="235"/>
        <v>0</v>
      </c>
      <c r="M412">
        <f t="shared" si="235"/>
        <v>0</v>
      </c>
      <c r="N412">
        <f t="shared" si="235"/>
        <v>0</v>
      </c>
    </row>
    <row r="414" spans="1:26" x14ac:dyDescent="0.3">
      <c r="A414" t="s">
        <v>497</v>
      </c>
      <c r="C414" t="str">
        <f>C213</f>
        <v>Current Tax Liabilities</v>
      </c>
      <c r="I414">
        <f>I213</f>
        <v>9.1999999999999993</v>
      </c>
      <c r="J414">
        <f>I414</f>
        <v>9.1999999999999993</v>
      </c>
      <c r="K414">
        <f t="shared" ref="K414:N414" si="236">J414</f>
        <v>9.1999999999999993</v>
      </c>
      <c r="L414">
        <f t="shared" si="236"/>
        <v>9.1999999999999993</v>
      </c>
      <c r="M414">
        <f t="shared" si="236"/>
        <v>9.1999999999999993</v>
      </c>
      <c r="N414">
        <f t="shared" si="236"/>
        <v>9.1999999999999993</v>
      </c>
    </row>
    <row r="415" spans="1:26" x14ac:dyDescent="0.3">
      <c r="A415" t="s">
        <v>1035</v>
      </c>
      <c r="C415" t="str">
        <f>C224</f>
        <v>Deferred tax liabilities</v>
      </c>
      <c r="I415">
        <f>I224</f>
        <v>34.700000000000003</v>
      </c>
      <c r="J415" s="99">
        <f>I415+J431</f>
        <v>120.60947933648494</v>
      </c>
      <c r="K415" s="99">
        <f>J415+K431</f>
        <v>139.10808255137636</v>
      </c>
      <c r="L415" s="99">
        <f>K415+L431</f>
        <v>159.74841026504345</v>
      </c>
      <c r="M415" s="99">
        <f>L415+M431</f>
        <v>182.24991393775548</v>
      </c>
      <c r="N415" s="99">
        <f>M415+N431</f>
        <v>206.6949050799642</v>
      </c>
    </row>
    <row r="417" spans="2:16" x14ac:dyDescent="0.3"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</row>
    <row r="418" spans="2:16" x14ac:dyDescent="0.3">
      <c r="C418" s="2" t="str">
        <f>ASSUMPTIONS!C63</f>
        <v>UK corporation Tax rate</v>
      </c>
    </row>
    <row r="419" spans="2:16" x14ac:dyDescent="0.3">
      <c r="C419" t="str">
        <f>ASSUMPTIONS!C63</f>
        <v>UK corporation Tax rate</v>
      </c>
      <c r="D419" t="str">
        <f>ASSUMPTIONS!D63</f>
        <v>Marginal Tax Rate</v>
      </c>
      <c r="J419" s="82">
        <f>ASSUMPTIONS!J63</f>
        <v>0.25</v>
      </c>
    </row>
    <row r="420" spans="2:16" x14ac:dyDescent="0.3">
      <c r="C420" t="str">
        <f>ASSUMPTIONS!C66</f>
        <v>Reported ETR</v>
      </c>
      <c r="J420" s="82">
        <f>ASSUMPTIONS!J66</f>
        <v>0.25</v>
      </c>
    </row>
    <row r="421" spans="2:16" x14ac:dyDescent="0.3">
      <c r="C421" t="str">
        <f>ASSUMPTIONS!C64</f>
        <v>current taxes % of total tax expense</v>
      </c>
      <c r="J421" s="104">
        <f>ASSUMPTIONS!J64</f>
        <v>0.95177552145280464</v>
      </c>
    </row>
    <row r="422" spans="2:16" x14ac:dyDescent="0.3">
      <c r="C422" t="str">
        <f>ASSUMPTIONS!C65</f>
        <v>Deferred Taxes % of Total tax expense</v>
      </c>
      <c r="J422" s="144">
        <f>ASSUMPTIONS!J65</f>
        <v>4.8224478547195443E-2</v>
      </c>
    </row>
    <row r="423" spans="2:16" x14ac:dyDescent="0.3"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</row>
    <row r="424" spans="2:16" x14ac:dyDescent="0.3">
      <c r="C424" t="s">
        <v>1036</v>
      </c>
      <c r="J424" s="99">
        <f>J32</f>
        <v>1403.6379173459397</v>
      </c>
      <c r="K424" s="99">
        <f>K32</f>
        <v>1534.3745560079051</v>
      </c>
      <c r="L424" s="99">
        <f>L32</f>
        <v>1712.0208106318664</v>
      </c>
      <c r="M424" s="99">
        <f>M32</f>
        <v>1866.396846629724</v>
      </c>
      <c r="N424" s="99">
        <f>N32</f>
        <v>2027.6002460688414</v>
      </c>
    </row>
    <row r="425" spans="2:16" x14ac:dyDescent="0.3">
      <c r="J425" s="99"/>
      <c r="K425" s="99"/>
      <c r="L425" s="99"/>
      <c r="M425" s="99"/>
      <c r="N425" s="99"/>
    </row>
    <row r="426" spans="2:16" x14ac:dyDescent="0.3">
      <c r="C426" t="s">
        <v>1037</v>
      </c>
      <c r="J426" s="99"/>
      <c r="K426" s="99"/>
      <c r="L426" s="99"/>
      <c r="M426" s="99"/>
      <c r="N426" s="99"/>
    </row>
    <row r="427" spans="2:16" x14ac:dyDescent="0.3">
      <c r="J427" s="99"/>
      <c r="K427" s="99"/>
      <c r="L427" s="99"/>
      <c r="M427" s="99"/>
      <c r="N427" s="99"/>
    </row>
    <row r="428" spans="2:16" x14ac:dyDescent="0.3">
      <c r="C428" t="s">
        <v>1038</v>
      </c>
      <c r="J428" s="126">
        <f>J424*$J$420</f>
        <v>350.90947933648494</v>
      </c>
      <c r="K428" s="126">
        <f>K424*$J$420</f>
        <v>383.59363900197627</v>
      </c>
      <c r="L428" s="126">
        <f t="shared" ref="L428:N428" si="237">L424*$J$420</f>
        <v>428.00520265796661</v>
      </c>
      <c r="M428" s="126">
        <f t="shared" si="237"/>
        <v>466.599211657431</v>
      </c>
      <c r="N428" s="126">
        <f t="shared" si="237"/>
        <v>506.90006151721036</v>
      </c>
    </row>
    <row r="429" spans="2:16" x14ac:dyDescent="0.3">
      <c r="J429" s="99"/>
      <c r="K429" s="99"/>
      <c r="L429" s="99"/>
      <c r="M429" s="99"/>
      <c r="N429" s="99"/>
    </row>
    <row r="430" spans="2:16" x14ac:dyDescent="0.3">
      <c r="C430" t="str">
        <f>C421</f>
        <v>current taxes % of total tax expense</v>
      </c>
      <c r="J430" s="99">
        <f>ASSUMPTIONS!J67</f>
        <v>265</v>
      </c>
      <c r="K430" s="99">
        <f>$J$421*K428</f>
        <v>365.09503578708484</v>
      </c>
      <c r="L430" s="99">
        <f t="shared" ref="L430:N430" si="238">$J$421*L428</f>
        <v>407.36487494429952</v>
      </c>
      <c r="M430" s="99">
        <f t="shared" si="238"/>
        <v>444.09770798471897</v>
      </c>
      <c r="N430" s="99">
        <f t="shared" si="238"/>
        <v>482.45507037500164</v>
      </c>
    </row>
    <row r="431" spans="2:16" x14ac:dyDescent="0.3">
      <c r="C431" t="str">
        <f>C422</f>
        <v>Deferred Taxes % of Total tax expense</v>
      </c>
      <c r="J431" s="99">
        <f>J428-J430</f>
        <v>85.909479336484935</v>
      </c>
      <c r="K431" s="99">
        <f>K428-K430</f>
        <v>18.498603214891432</v>
      </c>
      <c r="L431" s="99">
        <f t="shared" ref="L431:N431" si="239">L428-L430</f>
        <v>20.640327713667091</v>
      </c>
      <c r="M431" s="99">
        <f t="shared" si="239"/>
        <v>22.501503672712033</v>
      </c>
      <c r="N431" s="99">
        <f t="shared" si="239"/>
        <v>24.444991142208721</v>
      </c>
    </row>
    <row r="432" spans="2:16" x14ac:dyDescent="0.3">
      <c r="J432" s="111">
        <f>SUM(J430:J431)</f>
        <v>350.90947933648494</v>
      </c>
      <c r="K432" s="111">
        <f>SUM(K430:K431)</f>
        <v>383.59363900197627</v>
      </c>
      <c r="L432" s="111">
        <f t="shared" ref="L432:N432" si="240">SUM(L430:L431)</f>
        <v>428.00520265796661</v>
      </c>
      <c r="M432" s="111">
        <f t="shared" si="240"/>
        <v>466.599211657431</v>
      </c>
      <c r="N432" s="111">
        <f t="shared" si="240"/>
        <v>506.90006151721036</v>
      </c>
    </row>
    <row r="433" spans="3:14" x14ac:dyDescent="0.3">
      <c r="C433" t="s">
        <v>7</v>
      </c>
      <c r="J433">
        <f>J432-J428</f>
        <v>0</v>
      </c>
      <c r="K433">
        <f t="shared" ref="K433:N433" si="241">K432-K428</f>
        <v>0</v>
      </c>
      <c r="L433">
        <f t="shared" si="241"/>
        <v>0</v>
      </c>
      <c r="M433">
        <f t="shared" si="241"/>
        <v>0</v>
      </c>
      <c r="N433">
        <f t="shared" si="241"/>
        <v>0</v>
      </c>
    </row>
    <row r="437" spans="3:14" s="127" customFormat="1" ht="16.2" thickBot="1" x14ac:dyDescent="0.35">
      <c r="C437" s="215" t="s">
        <v>108</v>
      </c>
      <c r="D437" s="215"/>
      <c r="E437" s="215"/>
      <c r="F437" s="215"/>
      <c r="G437" s="215"/>
      <c r="H437" s="215"/>
      <c r="I437" s="215"/>
      <c r="J437" s="215"/>
      <c r="K437" s="215"/>
      <c r="L437" s="215"/>
      <c r="M437" s="215"/>
      <c r="N437" s="215"/>
    </row>
    <row r="438" spans="3:14" x14ac:dyDescent="0.3"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</row>
    <row r="439" spans="3:14" x14ac:dyDescent="0.3">
      <c r="C439" s="102" t="s">
        <v>82</v>
      </c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</row>
    <row r="440" spans="3:14" x14ac:dyDescent="0.3">
      <c r="C440" s="96" t="s">
        <v>83</v>
      </c>
      <c r="D440" s="55"/>
      <c r="E440" s="96"/>
      <c r="F440" s="96"/>
      <c r="G440" s="96"/>
      <c r="H440" s="96"/>
      <c r="I440" s="96">
        <v>12.3</v>
      </c>
      <c r="J440" s="123">
        <f>J513</f>
        <v>11.841666666666667</v>
      </c>
      <c r="K440" s="123">
        <f>K513</f>
        <v>11.508333333333333</v>
      </c>
      <c r="L440" s="123">
        <f>L513</f>
        <v>11.258333333333333</v>
      </c>
      <c r="M440" s="123">
        <f>M513</f>
        <v>10.924999999999999</v>
      </c>
      <c r="N440" s="123">
        <f>N513</f>
        <v>10.591666666666665</v>
      </c>
    </row>
    <row r="441" spans="3:14" x14ac:dyDescent="0.3">
      <c r="C441" s="96" t="s">
        <v>84</v>
      </c>
      <c r="D441" s="55"/>
      <c r="E441" s="96"/>
      <c r="F441" s="96"/>
      <c r="G441" s="96"/>
      <c r="H441" s="96"/>
      <c r="I441" s="96">
        <v>54.2</v>
      </c>
      <c r="J441" s="123">
        <f>I441</f>
        <v>54.2</v>
      </c>
      <c r="K441" s="123">
        <f t="shared" ref="K441:N441" si="242">J441</f>
        <v>54.2</v>
      </c>
      <c r="L441" s="123">
        <f t="shared" si="242"/>
        <v>54.2</v>
      </c>
      <c r="M441" s="123">
        <f t="shared" si="242"/>
        <v>54.2</v>
      </c>
      <c r="N441" s="123">
        <f t="shared" si="242"/>
        <v>54.2</v>
      </c>
    </row>
    <row r="442" spans="3:14" x14ac:dyDescent="0.3">
      <c r="C442" s="96" t="s">
        <v>490</v>
      </c>
      <c r="D442" s="55"/>
      <c r="E442" s="96"/>
      <c r="F442" s="96"/>
      <c r="G442" s="96"/>
      <c r="H442" s="96"/>
      <c r="I442" s="96">
        <v>458.5</v>
      </c>
      <c r="J442" s="123">
        <f>J529</f>
        <v>458.95833333333331</v>
      </c>
      <c r="K442" s="123">
        <f t="shared" ref="K442:N442" si="243">K529</f>
        <v>459.29166666666663</v>
      </c>
      <c r="L442" s="123">
        <f t="shared" si="243"/>
        <v>459.54166666666663</v>
      </c>
      <c r="M442" s="123">
        <f t="shared" si="243"/>
        <v>459.87499999999994</v>
      </c>
      <c r="N442" s="123">
        <f t="shared" si="243"/>
        <v>460.20833333333326</v>
      </c>
    </row>
    <row r="443" spans="3:14" x14ac:dyDescent="0.3">
      <c r="C443" s="96" t="s">
        <v>487</v>
      </c>
      <c r="D443" s="55"/>
      <c r="E443" s="96"/>
      <c r="F443" s="96"/>
      <c r="G443" s="96"/>
      <c r="H443" s="96"/>
      <c r="I443" s="96">
        <v>-442.4</v>
      </c>
      <c r="J443" s="99">
        <f>J536</f>
        <v>-346.4</v>
      </c>
      <c r="K443" s="99">
        <f t="shared" ref="K443:N443" si="244">K536</f>
        <v>-419.4</v>
      </c>
      <c r="L443" s="99">
        <f t="shared" si="244"/>
        <v>-492.4</v>
      </c>
      <c r="M443" s="99">
        <f t="shared" si="244"/>
        <v>-565.4</v>
      </c>
      <c r="N443" s="99">
        <f t="shared" si="244"/>
        <v>-638.4</v>
      </c>
    </row>
    <row r="444" spans="3:14" x14ac:dyDescent="0.3">
      <c r="C444" s="96" t="s">
        <v>486</v>
      </c>
      <c r="D444" s="55"/>
      <c r="E444" s="96"/>
      <c r="F444" s="96"/>
      <c r="G444" s="96"/>
      <c r="H444" s="96"/>
      <c r="I444" s="96">
        <v>-16.100000000000001</v>
      </c>
      <c r="J444" s="123">
        <f>I444</f>
        <v>-16.100000000000001</v>
      </c>
      <c r="K444" s="123">
        <f t="shared" ref="K444:N444" si="245">J444</f>
        <v>-16.100000000000001</v>
      </c>
      <c r="L444" s="123">
        <f t="shared" si="245"/>
        <v>-16.100000000000001</v>
      </c>
      <c r="M444" s="123">
        <f t="shared" si="245"/>
        <v>-16.100000000000001</v>
      </c>
      <c r="N444" s="123">
        <f t="shared" si="245"/>
        <v>-16.100000000000001</v>
      </c>
    </row>
    <row r="445" spans="3:14" x14ac:dyDescent="0.3">
      <c r="C445" s="96" t="s">
        <v>488</v>
      </c>
      <c r="D445" s="55"/>
      <c r="E445" s="96"/>
      <c r="F445" s="96"/>
      <c r="G445" s="96"/>
      <c r="H445" s="96"/>
      <c r="I445" s="96">
        <v>-1</v>
      </c>
      <c r="J445" s="123">
        <f>I445</f>
        <v>-1</v>
      </c>
      <c r="K445" s="123">
        <f t="shared" ref="K445:N445" si="246">J445</f>
        <v>-1</v>
      </c>
      <c r="L445" s="123">
        <f t="shared" si="246"/>
        <v>-1</v>
      </c>
      <c r="M445" s="123">
        <f t="shared" si="246"/>
        <v>-1</v>
      </c>
      <c r="N445" s="123">
        <f t="shared" si="246"/>
        <v>-1</v>
      </c>
    </row>
    <row r="446" spans="3:14" x14ac:dyDescent="0.3">
      <c r="C446" s="96" t="s">
        <v>485</v>
      </c>
      <c r="D446" s="55"/>
      <c r="E446" s="96"/>
      <c r="F446" s="96"/>
      <c r="G446" s="96"/>
      <c r="H446" s="96"/>
      <c r="I446" s="96">
        <v>-7.3</v>
      </c>
      <c r="J446" s="123">
        <f>I446</f>
        <v>-7.3</v>
      </c>
      <c r="K446" s="123">
        <f t="shared" ref="K446:N446" si="247">J446</f>
        <v>-7.3</v>
      </c>
      <c r="L446" s="123">
        <f t="shared" si="247"/>
        <v>-7.3</v>
      </c>
      <c r="M446" s="123">
        <f t="shared" si="247"/>
        <v>-7.3</v>
      </c>
      <c r="N446" s="123">
        <f t="shared" si="247"/>
        <v>-7.3</v>
      </c>
    </row>
    <row r="447" spans="3:14" x14ac:dyDescent="0.3">
      <c r="C447" s="96" t="s">
        <v>489</v>
      </c>
      <c r="D447" s="55"/>
      <c r="E447" s="96"/>
      <c r="F447" s="96"/>
      <c r="G447" s="96"/>
      <c r="H447" s="96"/>
      <c r="I447" s="96">
        <v>-1889.7</v>
      </c>
      <c r="J447" s="123">
        <f>I447</f>
        <v>-1889.7</v>
      </c>
      <c r="K447" s="123">
        <f t="shared" ref="K447:N447" si="248">J447</f>
        <v>-1889.7</v>
      </c>
      <c r="L447" s="123">
        <f t="shared" si="248"/>
        <v>-1889.7</v>
      </c>
      <c r="M447" s="123">
        <f t="shared" si="248"/>
        <v>-1889.7</v>
      </c>
      <c r="N447" s="123">
        <f t="shared" si="248"/>
        <v>-1889.7</v>
      </c>
    </row>
    <row r="448" spans="3:14" x14ac:dyDescent="0.3">
      <c r="C448" s="96" t="s">
        <v>1285</v>
      </c>
      <c r="D448" s="55"/>
      <c r="E448" s="96"/>
      <c r="F448" s="96"/>
      <c r="G448" s="96"/>
      <c r="H448" s="96"/>
      <c r="I448" s="96">
        <v>3494</v>
      </c>
      <c r="J448" s="123">
        <f>J522</f>
        <v>3721.9121457881383</v>
      </c>
      <c r="K448" s="123">
        <f>K522</f>
        <v>4106.9377543112751</v>
      </c>
      <c r="L448" s="123">
        <f>L522</f>
        <v>4678.0824526965853</v>
      </c>
      <c r="M448" s="123">
        <f>M522</f>
        <v>5224.5223013265131</v>
      </c>
      <c r="N448" s="123">
        <f>N522</f>
        <v>5849.7948160571104</v>
      </c>
    </row>
    <row r="449" spans="2:16" x14ac:dyDescent="0.3">
      <c r="C449" s="55"/>
      <c r="D449" s="55"/>
      <c r="E449" s="96"/>
      <c r="F449" s="96"/>
      <c r="G449" s="96"/>
      <c r="H449" s="96"/>
      <c r="I449" s="109">
        <f t="shared" ref="I449" si="249">SUM(I440:I448)</f>
        <v>1662.5</v>
      </c>
      <c r="J449" s="130">
        <f t="shared" ref="J449" si="250">SUM(J440:J448)</f>
        <v>1986.4121457881383</v>
      </c>
      <c r="K449" s="130">
        <f t="shared" ref="K449" si="251">SUM(K440:K448)</f>
        <v>2298.4377543112751</v>
      </c>
      <c r="L449" s="130">
        <f t="shared" ref="L449" si="252">SUM(L440:L448)</f>
        <v>2796.5824526965853</v>
      </c>
      <c r="M449" s="130">
        <f t="shared" ref="M449" si="253">SUM(M440:M448)</f>
        <v>3270.0223013265131</v>
      </c>
      <c r="N449" s="130">
        <f t="shared" ref="N449" si="254">SUM(N440:N448)</f>
        <v>3822.2948160571104</v>
      </c>
    </row>
    <row r="450" spans="2:16" x14ac:dyDescent="0.3">
      <c r="C450" s="96" t="s">
        <v>492</v>
      </c>
      <c r="D450" s="55"/>
      <c r="E450" s="96"/>
      <c r="F450" s="96"/>
      <c r="G450" s="96"/>
      <c r="H450" s="96"/>
      <c r="I450" s="96">
        <v>118</v>
      </c>
      <c r="J450" s="123">
        <f>J544</f>
        <v>127.23462962962964</v>
      </c>
      <c r="K450" s="123">
        <f t="shared" ref="K450:N450" si="255">K544</f>
        <v>138.25893575925926</v>
      </c>
      <c r="L450" s="123">
        <f t="shared" si="255"/>
        <v>151.97943405162505</v>
      </c>
      <c r="M450" s="123">
        <f t="shared" si="255"/>
        <v>168.07223963774004</v>
      </c>
      <c r="N450" s="123">
        <f t="shared" si="255"/>
        <v>186.35851869120864</v>
      </c>
    </row>
    <row r="451" spans="2:16" x14ac:dyDescent="0.3">
      <c r="C451" s="55"/>
      <c r="D451" s="55"/>
      <c r="E451" s="96"/>
      <c r="F451" s="96"/>
      <c r="G451" s="96"/>
      <c r="H451" s="96"/>
      <c r="I451" s="98">
        <f t="shared" ref="I451:N451" si="256">SUM(I449:I450)</f>
        <v>1780.5</v>
      </c>
      <c r="J451" s="122">
        <f t="shared" si="256"/>
        <v>2113.6467754177679</v>
      </c>
      <c r="K451" s="122">
        <f t="shared" si="256"/>
        <v>2436.6966900705343</v>
      </c>
      <c r="L451" s="122">
        <f t="shared" si="256"/>
        <v>2948.5618867482103</v>
      </c>
      <c r="M451" s="122">
        <f t="shared" si="256"/>
        <v>3438.0945409642532</v>
      </c>
      <c r="N451" s="122">
        <f t="shared" si="256"/>
        <v>4008.6533347483191</v>
      </c>
    </row>
    <row r="452" spans="2:16" x14ac:dyDescent="0.3">
      <c r="C452" s="55"/>
      <c r="D452" s="55"/>
      <c r="E452" s="96"/>
      <c r="F452" s="96"/>
      <c r="G452" s="96"/>
      <c r="H452" s="96"/>
      <c r="I452" s="55"/>
      <c r="J452" s="121"/>
      <c r="K452" s="121"/>
      <c r="L452" s="121"/>
      <c r="M452" s="121"/>
      <c r="N452" s="121"/>
    </row>
    <row r="453" spans="2:16" x14ac:dyDescent="0.3"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</row>
    <row r="454" spans="2:16" x14ac:dyDescent="0.3">
      <c r="B454" s="135"/>
      <c r="C454" s="135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5"/>
      <c r="P454" s="135"/>
    </row>
    <row r="455" spans="2:16" x14ac:dyDescent="0.3">
      <c r="C455" s="96" t="str">
        <f>ASSUMPTIONS!C9</f>
        <v>Nominal value of shares(p)</v>
      </c>
      <c r="D455" s="145">
        <f>ASSUMPTIONS!D9</f>
        <v>0.1</v>
      </c>
      <c r="E455" s="55"/>
      <c r="F455" s="55"/>
      <c r="G455" s="55"/>
      <c r="H455" s="55"/>
      <c r="I455" s="55"/>
      <c r="K455" s="55"/>
      <c r="L455" s="55"/>
      <c r="M455" s="55"/>
      <c r="N455" s="55"/>
    </row>
    <row r="456" spans="2:16" x14ac:dyDescent="0.3">
      <c r="C456" s="96" t="str">
        <f>ASSUMPTIONS!C204</f>
        <v>Issuance/(buyback) of common shares</v>
      </c>
      <c r="D456" s="55"/>
      <c r="E456" s="55"/>
      <c r="F456" s="55"/>
      <c r="G456" s="55"/>
      <c r="H456" s="55"/>
      <c r="I456" s="55"/>
      <c r="J456" s="82">
        <f>ASSUMPTIONS!J204</f>
        <v>0.5</v>
      </c>
      <c r="K456" s="55"/>
      <c r="L456" s="55"/>
      <c r="M456" s="55"/>
      <c r="N456" s="55"/>
    </row>
    <row r="457" spans="2:16" x14ac:dyDescent="0.3">
      <c r="C457" s="96" t="str">
        <f>ASSUMPTIONS!C205</f>
        <v>Dividend Payout Ratio on common shares %</v>
      </c>
      <c r="D457" s="55"/>
      <c r="E457" s="55"/>
      <c r="F457" s="55"/>
      <c r="G457" s="55"/>
      <c r="H457" s="55"/>
      <c r="I457" s="55"/>
      <c r="J457" s="82">
        <f>ASSUMPTIONS!J205</f>
        <v>0</v>
      </c>
      <c r="K457" s="55"/>
      <c r="L457" s="55"/>
      <c r="M457" s="55"/>
      <c r="N457" s="55"/>
    </row>
    <row r="458" spans="2:16" x14ac:dyDescent="0.3">
      <c r="C458" s="96" t="str">
        <f>ASSUMPTIONS!C206</f>
        <v>Ordinary dividends declared</v>
      </c>
      <c r="D458" s="55"/>
      <c r="E458" s="55"/>
      <c r="F458" s="55"/>
      <c r="G458" s="55"/>
      <c r="H458" s="55"/>
      <c r="I458" s="55"/>
      <c r="J458" s="82">
        <f>ASSUMPTIONS!J206</f>
        <v>324</v>
      </c>
      <c r="K458" s="82">
        <f>ASSUMPTIONS!K206</f>
        <v>360</v>
      </c>
      <c r="L458" s="82">
        <f>ASSUMPTIONS!L206</f>
        <v>390</v>
      </c>
      <c r="M458" s="82">
        <f>ASSUMPTIONS!M206</f>
        <v>425</v>
      </c>
      <c r="N458" s="82">
        <f>ASSUMPTIONS!N206</f>
        <v>460</v>
      </c>
    </row>
    <row r="459" spans="2:16" x14ac:dyDescent="0.3">
      <c r="C459" s="96" t="str">
        <f>ASSUMPTIONS!C207</f>
        <v>Ordinary dividends paid</v>
      </c>
      <c r="D459" s="55"/>
      <c r="E459" s="55"/>
      <c r="F459" s="55"/>
      <c r="G459" s="55"/>
      <c r="H459" s="55"/>
      <c r="I459" s="55"/>
      <c r="J459" s="125">
        <f>ASSUMPTIONS!J207</f>
        <v>318</v>
      </c>
      <c r="K459" s="125">
        <f>ASSUMPTIONS!K207</f>
        <v>347.47142327345603</v>
      </c>
      <c r="L459" s="125">
        <f>ASSUMPTIONS!L207</f>
        <v>379.01762937240801</v>
      </c>
      <c r="M459" s="125">
        <f>ASSUMPTIONS!M207</f>
        <v>411.24841618479502</v>
      </c>
      <c r="N459" s="125">
        <f>ASSUMPTIONS!N207</f>
        <v>442.88278505539398</v>
      </c>
    </row>
    <row r="460" spans="2:16" x14ac:dyDescent="0.3">
      <c r="C460" s="55" t="s">
        <v>1289</v>
      </c>
      <c r="D460" s="55"/>
      <c r="E460" s="55"/>
      <c r="F460" s="55"/>
      <c r="G460" s="55"/>
      <c r="H460" s="55"/>
      <c r="I460" s="55"/>
      <c r="J460" s="82">
        <f>SCENARIOS!J79</f>
        <v>550</v>
      </c>
      <c r="K460" s="82">
        <f>SCENARIOS!K79</f>
        <v>400</v>
      </c>
      <c r="L460" s="82">
        <f>SCENARIOS!L79</f>
        <v>300</v>
      </c>
      <c r="M460" s="82">
        <f>SCENARIOS!M79</f>
        <v>400</v>
      </c>
      <c r="N460" s="82">
        <f>SCENARIOS!N79</f>
        <v>400</v>
      </c>
    </row>
    <row r="461" spans="2:16" x14ac:dyDescent="0.3">
      <c r="C461" s="96" t="str">
        <f>ASSUMPTIONS!C209</f>
        <v>ordinary dividend as a % of forecast post tax profit</v>
      </c>
      <c r="D461" s="55"/>
      <c r="E461" s="55"/>
      <c r="F461" s="55"/>
      <c r="G461" s="55"/>
      <c r="H461" s="55"/>
      <c r="I461" s="55"/>
      <c r="J461" s="82">
        <f>ASSUMPTIONS!J209</f>
        <v>0.36</v>
      </c>
      <c r="K461" s="55"/>
      <c r="L461" s="55"/>
      <c r="M461" s="55"/>
      <c r="N461" s="55"/>
    </row>
    <row r="462" spans="2:16" x14ac:dyDescent="0.3">
      <c r="C462" s="96" t="str">
        <f>ASSUMPTIONS!C210</f>
        <v>Dividend yield</v>
      </c>
      <c r="D462" s="55"/>
      <c r="E462" s="55"/>
      <c r="F462" s="55"/>
      <c r="G462" s="55"/>
      <c r="H462" s="55"/>
      <c r="I462" s="55"/>
      <c r="J462" s="82">
        <f>ASSUMPTIONS!J210</f>
        <v>2.1999999999999999E-2</v>
      </c>
      <c r="K462" s="55"/>
      <c r="L462" s="55"/>
      <c r="M462" s="55"/>
      <c r="N462" s="55"/>
    </row>
    <row r="463" spans="2:16" x14ac:dyDescent="0.3">
      <c r="C463" s="96" t="str">
        <f>ASSUMPTIONS!C211</f>
        <v>Dividend cover</v>
      </c>
      <c r="D463" s="55"/>
      <c r="E463" s="55"/>
      <c r="F463" s="55"/>
      <c r="G463" s="55"/>
      <c r="H463" s="55"/>
      <c r="I463" s="55"/>
      <c r="J463" s="82">
        <f>ASSUMPTIONS!J211</f>
        <v>2.8</v>
      </c>
      <c r="K463" s="55"/>
      <c r="L463" s="55"/>
      <c r="M463" s="55"/>
      <c r="N463" s="55"/>
    </row>
    <row r="464" spans="2:16" x14ac:dyDescent="0.3">
      <c r="C464" s="96" t="str">
        <f>ASSUMPTIONS!C212</f>
        <v>Average Share price</v>
      </c>
      <c r="D464" s="82" t="str">
        <f>ASSUMPTIONS!J212</f>
        <v>109-131</v>
      </c>
      <c r="E464" s="55"/>
      <c r="F464" s="55"/>
      <c r="G464" s="55"/>
      <c r="H464" s="55"/>
      <c r="I464" s="55"/>
      <c r="J464">
        <f>(109+131)/2</f>
        <v>120</v>
      </c>
      <c r="K464" s="55"/>
      <c r="L464" s="55"/>
      <c r="M464" s="55" t="s">
        <v>236</v>
      </c>
      <c r="N464" s="55"/>
    </row>
    <row r="465" spans="2:16" x14ac:dyDescent="0.3">
      <c r="C465" s="96" t="str">
        <f>ASSUMPTIONS!C213</f>
        <v>Forecast shares issued by ESOT</v>
      </c>
      <c r="D465" s="55"/>
      <c r="E465" s="55"/>
      <c r="F465" s="55"/>
      <c r="G465" s="55"/>
      <c r="H465" s="55"/>
      <c r="I465" s="55"/>
      <c r="J465" s="82">
        <f>ASSUMPTIONS!J213</f>
        <v>96</v>
      </c>
      <c r="K465" s="55"/>
      <c r="L465" s="55"/>
      <c r="M465" s="55"/>
      <c r="N465" s="55"/>
    </row>
    <row r="466" spans="2:16" x14ac:dyDescent="0.3">
      <c r="C466" s="96" t="str">
        <f>ASSUMPTIONS!C214</f>
        <v>Net ESOT cashflow</v>
      </c>
      <c r="D466" s="55"/>
      <c r="E466" s="55"/>
      <c r="F466" s="55"/>
      <c r="G466" s="55"/>
      <c r="H466" s="55"/>
      <c r="I466" s="55"/>
      <c r="J466" s="82">
        <f>ASSUMPTIONS!J214</f>
        <v>-64</v>
      </c>
      <c r="K466" s="55"/>
      <c r="L466" s="55"/>
      <c r="M466" s="55"/>
      <c r="N466" s="55"/>
    </row>
    <row r="467" spans="2:16" x14ac:dyDescent="0.3">
      <c r="C467" s="96" t="str">
        <f>ASSUMPTIONS!C215</f>
        <v>Disposal of Shares by ESOT</v>
      </c>
      <c r="D467" s="55"/>
      <c r="E467" s="55"/>
      <c r="F467" s="55"/>
      <c r="G467" s="55"/>
      <c r="H467" s="55"/>
      <c r="I467" s="55"/>
      <c r="J467" s="82">
        <f>ASSUMPTIONS!J215</f>
        <v>105</v>
      </c>
      <c r="K467" s="55"/>
      <c r="L467" s="55"/>
      <c r="M467" s="55"/>
      <c r="N467" s="55"/>
    </row>
    <row r="468" spans="2:16" x14ac:dyDescent="0.3">
      <c r="C468" s="96"/>
      <c r="D468" s="55"/>
      <c r="E468" s="55"/>
      <c r="F468" s="55"/>
      <c r="G468" s="55"/>
      <c r="H468" s="55"/>
      <c r="I468" s="55"/>
      <c r="K468" s="55"/>
      <c r="L468" s="55"/>
      <c r="M468" s="55"/>
      <c r="N468" s="55"/>
    </row>
    <row r="469" spans="2:16" x14ac:dyDescent="0.3">
      <c r="C469" s="55" t="str">
        <f>ASSUMPTIONS!C217</f>
        <v>Non-controlling Interests</v>
      </c>
      <c r="D469" s="55"/>
      <c r="E469" s="55"/>
      <c r="F469" s="55"/>
      <c r="G469" s="55"/>
      <c r="H469" s="55"/>
      <c r="I469" s="55"/>
      <c r="K469" s="55"/>
      <c r="L469" s="55"/>
      <c r="M469" s="55"/>
      <c r="N469" s="55"/>
    </row>
    <row r="470" spans="2:16" x14ac:dyDescent="0.3">
      <c r="C470" s="96" t="str">
        <f>ASSUMPTIONS!C218</f>
        <v>NCI Profit growth rate</v>
      </c>
      <c r="D470" s="55"/>
      <c r="E470" s="55"/>
      <c r="F470" s="55"/>
      <c r="G470" s="55"/>
      <c r="H470" s="55"/>
      <c r="I470" s="55"/>
      <c r="J470" s="105">
        <f>ASSUMPTIONS!J218</f>
        <v>0.182592592592593</v>
      </c>
      <c r="K470" s="105">
        <f>ASSUMPTIONS!K218</f>
        <v>0.1593</v>
      </c>
      <c r="L470" s="105">
        <f>ASSUMPTIONS!L218</f>
        <v>0.207012345679012</v>
      </c>
      <c r="M470" s="105">
        <f>ASSUMPTIONS!M218</f>
        <v>0.150905349794239</v>
      </c>
      <c r="N470" s="105">
        <f>ASSUMPTIONS!N218</f>
        <v>0.12123456790122999</v>
      </c>
    </row>
    <row r="471" spans="2:16" x14ac:dyDescent="0.3">
      <c r="C471" s="96" t="str">
        <f>ASSUMPTIONS!C219</f>
        <v>Dividends declared to NCI</v>
      </c>
      <c r="D471" s="55"/>
      <c r="E471" s="55"/>
      <c r="F471" s="55"/>
      <c r="G471" s="55"/>
      <c r="H471" s="55"/>
      <c r="I471" s="55"/>
      <c r="J471" s="82">
        <f>ASSUMPTIONS!J219</f>
        <v>8</v>
      </c>
      <c r="K471" s="82">
        <f>ASSUMPTIONS!K219</f>
        <v>8</v>
      </c>
      <c r="L471" s="82">
        <f>ASSUMPTIONS!L219</f>
        <v>8</v>
      </c>
      <c r="M471" s="82">
        <f>ASSUMPTIONS!M219</f>
        <v>8</v>
      </c>
      <c r="N471" s="82">
        <f>ASSUMPTIONS!N219</f>
        <v>8</v>
      </c>
    </row>
    <row r="472" spans="2:16" x14ac:dyDescent="0.3">
      <c r="C472" s="96" t="str">
        <f>ASSUMPTIONS!C220</f>
        <v>Dividends paid to NCI</v>
      </c>
      <c r="D472" s="55"/>
      <c r="E472" s="55"/>
      <c r="F472" s="55"/>
      <c r="G472" s="55"/>
      <c r="H472" s="55"/>
      <c r="I472" s="55"/>
      <c r="J472" s="143">
        <f>ASSUMPTIONS!J220</f>
        <v>2</v>
      </c>
      <c r="K472" s="55"/>
      <c r="L472" s="55"/>
      <c r="M472" s="55"/>
      <c r="N472" s="55"/>
    </row>
    <row r="473" spans="2:16" x14ac:dyDescent="0.3">
      <c r="B473" s="48"/>
      <c r="C473" s="146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48"/>
      <c r="P473" s="48"/>
    </row>
    <row r="474" spans="2:16" x14ac:dyDescent="0.3">
      <c r="C474" s="2" t="s">
        <v>676</v>
      </c>
      <c r="J474" s="99"/>
      <c r="K474" s="121"/>
      <c r="L474" s="121"/>
      <c r="M474" s="121"/>
      <c r="N474" s="121"/>
    </row>
    <row r="475" spans="2:16" x14ac:dyDescent="0.3">
      <c r="C475" t="str">
        <f>C512</f>
        <v>Issuance/(buyback) of common shares</v>
      </c>
      <c r="D475" t="s">
        <v>1111</v>
      </c>
      <c r="J475" s="123">
        <f>-(J460/$J$464)</f>
        <v>-4.583333333333333</v>
      </c>
      <c r="K475" s="123">
        <f>-(K460/$J$464)</f>
        <v>-3.3333333333333335</v>
      </c>
      <c r="L475" s="123">
        <f>-(L460/$J$464)</f>
        <v>-2.5</v>
      </c>
      <c r="M475" s="123">
        <f>-(M460/$J$464)</f>
        <v>-3.3333333333333335</v>
      </c>
      <c r="N475" s="123">
        <f>-(N460/$J$464)</f>
        <v>-3.3333333333333335</v>
      </c>
    </row>
    <row r="476" spans="2:16" x14ac:dyDescent="0.3">
      <c r="C476" t="str">
        <f>C455</f>
        <v>Nominal value of shares(p)</v>
      </c>
      <c r="D476" s="134">
        <f>D455</f>
        <v>0.1</v>
      </c>
      <c r="J476" s="121">
        <f>J475*$D$476</f>
        <v>-0.45833333333333331</v>
      </c>
      <c r="K476" s="121">
        <f>K475*$D$476</f>
        <v>-0.33333333333333337</v>
      </c>
      <c r="L476" s="121">
        <f>L475*$D$476</f>
        <v>-0.25</v>
      </c>
      <c r="M476" s="121">
        <f>M475*$D$476</f>
        <v>-0.33333333333333337</v>
      </c>
      <c r="N476" s="121">
        <f>N475*$D$476</f>
        <v>-0.33333333333333337</v>
      </c>
    </row>
    <row r="477" spans="2:16" x14ac:dyDescent="0.3">
      <c r="D477" s="134"/>
      <c r="J477" s="121"/>
      <c r="K477" s="121"/>
      <c r="L477" s="121"/>
      <c r="M477" s="121"/>
      <c r="N477" s="121"/>
    </row>
    <row r="478" spans="2:16" x14ac:dyDescent="0.3">
      <c r="C478" s="96" t="s">
        <v>1293</v>
      </c>
      <c r="D478" s="110">
        <v>0.5</v>
      </c>
      <c r="E478" s="96"/>
      <c r="F478" s="96"/>
      <c r="G478" s="96"/>
      <c r="H478" s="96"/>
      <c r="I478" s="96"/>
      <c r="J478" s="123">
        <f>J656+J657+J659+J660+J661+J662+J663+J669</f>
        <v>567.97999985450031</v>
      </c>
      <c r="K478" s="123">
        <f>K656+K657+K659+K660+K661+K662+K663+K669</f>
        <v>559.32655989964064</v>
      </c>
      <c r="L478" s="123">
        <f>L656+L657+L659+L660+L661+L662+L663+L669</f>
        <v>330.36249160074112</v>
      </c>
      <c r="M478" s="123">
        <f>M656+M657+M659+M660+M661+M662+M663+M669</f>
        <v>690.66574076767313</v>
      </c>
      <c r="N478" s="123">
        <f>N656+N657+N659+N660+N661+N662+N663+N669</f>
        <v>627.77566695834412</v>
      </c>
    </row>
    <row r="479" spans="2:16" x14ac:dyDescent="0.3">
      <c r="C479" s="96"/>
      <c r="D479" s="55"/>
      <c r="E479" s="55"/>
      <c r="F479" s="55"/>
      <c r="G479" s="55"/>
      <c r="H479" s="55"/>
      <c r="I479" s="55"/>
      <c r="J479" s="121"/>
      <c r="K479" s="121"/>
      <c r="L479" s="121"/>
      <c r="M479" s="121"/>
      <c r="N479" s="121"/>
    </row>
    <row r="481" spans="3:15" x14ac:dyDescent="0.3">
      <c r="C481" s="55" t="s">
        <v>1126</v>
      </c>
      <c r="D481" s="55"/>
      <c r="E481" s="55"/>
      <c r="F481" s="55"/>
      <c r="G481" s="55"/>
      <c r="H481" s="55"/>
      <c r="I481" s="55"/>
      <c r="J481" s="55">
        <f>J482/J483</f>
        <v>3.214487062900695</v>
      </c>
      <c r="K481" s="55">
        <f>K482/K483</f>
        <v>3.1604350302119424</v>
      </c>
      <c r="L481" s="55">
        <f t="shared" ref="L481:N481" si="257">L482/L483</f>
        <v>3.2520387427731645</v>
      </c>
      <c r="M481" s="55">
        <f t="shared" si="257"/>
        <v>3.251070186791007</v>
      </c>
      <c r="N481" s="55">
        <f t="shared" si="257"/>
        <v>3.2617693597786142</v>
      </c>
    </row>
    <row r="482" spans="3:15" x14ac:dyDescent="0.3">
      <c r="C482" t="str">
        <f>C34</f>
        <v>Net Profit</v>
      </c>
      <c r="J482" s="100">
        <f>J37</f>
        <v>1041.4938083798252</v>
      </c>
      <c r="K482" s="100">
        <f>K37</f>
        <v>1137.7566108762992</v>
      </c>
      <c r="L482" s="100">
        <f>L37</f>
        <v>1268.2951096815341</v>
      </c>
      <c r="M482" s="100">
        <f>M37</f>
        <v>1381.7048293861781</v>
      </c>
      <c r="N482" s="100">
        <f>N37</f>
        <v>1500.4139054981624</v>
      </c>
    </row>
    <row r="483" spans="3:15" x14ac:dyDescent="0.3">
      <c r="C483" t="str">
        <f>C458</f>
        <v>Ordinary dividends declared</v>
      </c>
      <c r="J483" s="100">
        <f>J458</f>
        <v>324</v>
      </c>
      <c r="K483" s="100">
        <f>K458</f>
        <v>360</v>
      </c>
      <c r="L483" s="100">
        <f>L458</f>
        <v>390</v>
      </c>
      <c r="M483" s="100">
        <f>M458</f>
        <v>425</v>
      </c>
      <c r="N483" s="100">
        <f>N458</f>
        <v>460</v>
      </c>
    </row>
    <row r="484" spans="3:15" x14ac:dyDescent="0.3">
      <c r="C484" t="s">
        <v>1131</v>
      </c>
      <c r="J484" s="131">
        <f>J517/J521</f>
        <v>3.2751377622007083</v>
      </c>
      <c r="K484" s="131">
        <f>K517/K521</f>
        <v>2.7777777777777781</v>
      </c>
      <c r="L484" s="131">
        <f>L517/L521</f>
        <v>2.7777777777777777</v>
      </c>
      <c r="M484" s="131">
        <f>M517/M521</f>
        <v>2.7777777777777777</v>
      </c>
      <c r="N484" s="131">
        <f>N517/N521</f>
        <v>2.7777777777777781</v>
      </c>
    </row>
    <row r="485" spans="3:15" x14ac:dyDescent="0.3">
      <c r="J485" s="55"/>
      <c r="K485" s="55"/>
      <c r="L485" s="55"/>
      <c r="M485" s="55"/>
      <c r="N485" s="55"/>
    </row>
    <row r="486" spans="3:15" x14ac:dyDescent="0.3">
      <c r="J486" s="108"/>
      <c r="K486" s="55"/>
      <c r="L486" s="55"/>
      <c r="M486" s="55"/>
      <c r="N486" s="55"/>
    </row>
    <row r="487" spans="3:15" x14ac:dyDescent="0.3">
      <c r="D487" s="134"/>
    </row>
    <row r="488" spans="3:15" x14ac:dyDescent="0.3">
      <c r="C488" s="55" t="s">
        <v>608</v>
      </c>
      <c r="D488" s="55"/>
      <c r="E488" s="96"/>
      <c r="F488" s="96"/>
      <c r="G488" s="96"/>
      <c r="H488" s="96"/>
      <c r="I488" s="96"/>
    </row>
    <row r="489" spans="3:15" x14ac:dyDescent="0.3">
      <c r="C489" s="96" t="s">
        <v>1297</v>
      </c>
      <c r="D489" s="55"/>
      <c r="E489" s="55"/>
      <c r="F489" s="55"/>
      <c r="G489" s="55"/>
      <c r="H489" s="55"/>
      <c r="I489" s="55"/>
      <c r="J489" s="123">
        <f>J483</f>
        <v>324</v>
      </c>
      <c r="K489" s="123">
        <f>K483</f>
        <v>360</v>
      </c>
      <c r="L489" s="123">
        <f>L483</f>
        <v>390</v>
      </c>
      <c r="M489" s="123">
        <f>M483</f>
        <v>425</v>
      </c>
      <c r="N489" s="123">
        <f>N483</f>
        <v>460</v>
      </c>
    </row>
    <row r="490" spans="3:15" x14ac:dyDescent="0.3">
      <c r="C490" s="96" t="s">
        <v>1109</v>
      </c>
      <c r="D490" s="55"/>
      <c r="E490" s="55"/>
      <c r="F490" s="55"/>
      <c r="G490" s="55"/>
      <c r="H490" s="55"/>
      <c r="I490" s="55"/>
      <c r="J490" s="123">
        <f>J143</f>
        <v>-318</v>
      </c>
      <c r="K490" s="123">
        <f>K143</f>
        <v>-347.47142327345603</v>
      </c>
      <c r="L490" s="123">
        <f>L143</f>
        <v>-379.01762937240801</v>
      </c>
      <c r="M490" s="123">
        <f>M143</f>
        <v>-411.24841618479502</v>
      </c>
      <c r="N490" s="123">
        <f>N143</f>
        <v>-442.88278505539398</v>
      </c>
    </row>
    <row r="491" spans="3:15" x14ac:dyDescent="0.3">
      <c r="E491" s="55"/>
      <c r="F491" s="55"/>
      <c r="G491" s="55"/>
      <c r="H491" s="55"/>
      <c r="I491" s="55"/>
      <c r="J491" s="111">
        <f>SUM(J489:J490)</f>
        <v>6</v>
      </c>
      <c r="K491" s="111">
        <f t="shared" ref="K491:N491" si="258">SUM(K489:K490)</f>
        <v>12.528576726543974</v>
      </c>
      <c r="L491" s="111">
        <f t="shared" si="258"/>
        <v>10.98237062759199</v>
      </c>
      <c r="M491" s="111">
        <f t="shared" si="258"/>
        <v>13.751583815204981</v>
      </c>
      <c r="N491" s="111">
        <f t="shared" si="258"/>
        <v>17.117214944606019</v>
      </c>
    </row>
    <row r="492" spans="3:15" x14ac:dyDescent="0.3"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</row>
    <row r="493" spans="3:15" x14ac:dyDescent="0.3">
      <c r="C493" s="2" t="s">
        <v>1301</v>
      </c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</row>
    <row r="494" spans="3:15" x14ac:dyDescent="0.3">
      <c r="C494" s="96" t="s">
        <v>1297</v>
      </c>
      <c r="D494" s="55"/>
      <c r="E494" s="55"/>
      <c r="F494" s="55"/>
      <c r="G494" s="55"/>
      <c r="H494" s="55"/>
      <c r="I494" s="55"/>
      <c r="J494" s="123">
        <f>J471</f>
        <v>8</v>
      </c>
      <c r="K494" s="123">
        <f t="shared" ref="K494:N494" si="259">K471</f>
        <v>8</v>
      </c>
      <c r="L494" s="123">
        <f t="shared" si="259"/>
        <v>8</v>
      </c>
      <c r="M494" s="123">
        <f t="shared" si="259"/>
        <v>8</v>
      </c>
      <c r="N494" s="123">
        <f t="shared" si="259"/>
        <v>8</v>
      </c>
    </row>
    <row r="495" spans="3:15" x14ac:dyDescent="0.3">
      <c r="C495" s="96" t="s">
        <v>1109</v>
      </c>
      <c r="D495" s="55"/>
      <c r="E495" s="55"/>
      <c r="F495" s="55"/>
      <c r="G495" s="55"/>
      <c r="H495" s="55"/>
      <c r="I495" s="55"/>
      <c r="J495" s="96">
        <f>J164</f>
        <v>-2</v>
      </c>
      <c r="K495" s="96">
        <f>K164</f>
        <v>-2</v>
      </c>
      <c r="L495" s="96">
        <f>L164</f>
        <v>-2</v>
      </c>
      <c r="M495" s="96">
        <f>M164</f>
        <v>-2</v>
      </c>
      <c r="N495" s="96">
        <f>N164</f>
        <v>-2</v>
      </c>
    </row>
    <row r="496" spans="3:15" x14ac:dyDescent="0.3">
      <c r="C496" s="96"/>
      <c r="D496" s="55"/>
      <c r="E496" s="55"/>
      <c r="F496" s="55"/>
      <c r="G496" s="55"/>
      <c r="H496" s="55"/>
      <c r="I496" s="55"/>
      <c r="J496" s="121">
        <f>SUM(J494:J495)</f>
        <v>6</v>
      </c>
      <c r="K496" s="121">
        <f t="shared" ref="K496:N496" si="260">SUM(K494:K495)</f>
        <v>6</v>
      </c>
      <c r="L496" s="121">
        <f t="shared" si="260"/>
        <v>6</v>
      </c>
      <c r="M496" s="121">
        <f t="shared" si="260"/>
        <v>6</v>
      </c>
      <c r="N496" s="121">
        <f t="shared" si="260"/>
        <v>6</v>
      </c>
      <c r="O496" s="99"/>
    </row>
    <row r="497" spans="2:16" x14ac:dyDescent="0.3">
      <c r="C497" s="96"/>
      <c r="D497" s="55"/>
      <c r="E497" s="55"/>
      <c r="F497" s="55"/>
      <c r="G497" s="55"/>
      <c r="H497" s="55"/>
    </row>
    <row r="498" spans="2:16" x14ac:dyDescent="0.3">
      <c r="C498" s="55"/>
      <c r="D498" s="55"/>
      <c r="E498" s="55"/>
      <c r="F498" s="55"/>
      <c r="G498" s="55"/>
      <c r="H498" s="55"/>
      <c r="I498" s="55"/>
      <c r="J498" s="122">
        <f>J491+J496</f>
        <v>12</v>
      </c>
      <c r="K498" s="122">
        <f t="shared" ref="K498:N498" si="261">K491+K496</f>
        <v>18.528576726543974</v>
      </c>
      <c r="L498" s="122">
        <f t="shared" si="261"/>
        <v>16.98237062759199</v>
      </c>
      <c r="M498" s="122">
        <f t="shared" si="261"/>
        <v>19.751583815204981</v>
      </c>
      <c r="N498" s="122">
        <f t="shared" si="261"/>
        <v>23.117214944606019</v>
      </c>
    </row>
    <row r="499" spans="2:16" x14ac:dyDescent="0.3"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</row>
    <row r="500" spans="2:16" x14ac:dyDescent="0.3">
      <c r="C500" s="102" t="s">
        <v>1300</v>
      </c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</row>
    <row r="501" spans="2:16" x14ac:dyDescent="0.3">
      <c r="C501" s="55" t="s">
        <v>1296</v>
      </c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</row>
    <row r="502" spans="2:16" x14ac:dyDescent="0.3">
      <c r="C502" s="96" t="s">
        <v>902</v>
      </c>
      <c r="D502" s="55"/>
      <c r="E502" s="55"/>
      <c r="F502" s="55"/>
      <c r="G502" s="55"/>
      <c r="H502" s="55"/>
      <c r="I502" s="55"/>
      <c r="J502" s="96">
        <f>I504</f>
        <v>0</v>
      </c>
      <c r="K502" s="123">
        <f>J504</f>
        <v>12</v>
      </c>
      <c r="L502" s="123">
        <f t="shared" ref="L502:N502" si="262">K504</f>
        <v>30.528576726543974</v>
      </c>
      <c r="M502" s="123">
        <f t="shared" si="262"/>
        <v>47.510947354135965</v>
      </c>
      <c r="N502" s="123">
        <f t="shared" si="262"/>
        <v>67.262531169340946</v>
      </c>
    </row>
    <row r="503" spans="2:16" x14ac:dyDescent="0.3">
      <c r="C503" s="96" t="s">
        <v>1299</v>
      </c>
      <c r="D503" s="55"/>
      <c r="E503" s="55"/>
      <c r="F503" s="55"/>
      <c r="G503" s="55"/>
      <c r="H503" s="55"/>
      <c r="I503" s="55"/>
      <c r="J503" s="123">
        <f>J498</f>
        <v>12</v>
      </c>
      <c r="K503" s="123">
        <f t="shared" ref="K503:N503" si="263">K498</f>
        <v>18.528576726543974</v>
      </c>
      <c r="L503" s="123">
        <f t="shared" si="263"/>
        <v>16.98237062759199</v>
      </c>
      <c r="M503" s="123">
        <f t="shared" si="263"/>
        <v>19.751583815204981</v>
      </c>
      <c r="N503" s="123">
        <f t="shared" si="263"/>
        <v>23.117214944606019</v>
      </c>
    </row>
    <row r="504" spans="2:16" x14ac:dyDescent="0.3">
      <c r="C504" s="55" t="s">
        <v>903</v>
      </c>
      <c r="D504" s="55"/>
      <c r="E504" s="55"/>
      <c r="F504" s="55"/>
      <c r="G504" s="55"/>
      <c r="H504" s="55"/>
      <c r="I504" s="55">
        <f>I498+I492</f>
        <v>0</v>
      </c>
      <c r="J504" s="122">
        <f>J502+J503</f>
        <v>12</v>
      </c>
      <c r="K504" s="98">
        <f t="shared" ref="K504" si="264">K502+K503</f>
        <v>30.528576726543974</v>
      </c>
      <c r="L504" s="98">
        <f t="shared" ref="L504" si="265">L502+L503</f>
        <v>47.510947354135965</v>
      </c>
      <c r="M504" s="98">
        <f t="shared" ref="M504" si="266">M502+M503</f>
        <v>67.262531169340946</v>
      </c>
      <c r="N504" s="98">
        <f t="shared" ref="N504" si="267">N502+N503</f>
        <v>90.379746113946965</v>
      </c>
    </row>
    <row r="505" spans="2:16" x14ac:dyDescent="0.3"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</row>
    <row r="509" spans="2:16" x14ac:dyDescent="0.3">
      <c r="C509" s="102" t="s">
        <v>1105</v>
      </c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</row>
    <row r="510" spans="2:16" x14ac:dyDescent="0.3">
      <c r="C510" s="55" t="s">
        <v>1106</v>
      </c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</row>
    <row r="511" spans="2:16" x14ac:dyDescent="0.3">
      <c r="C511" s="96" t="s">
        <v>902</v>
      </c>
      <c r="D511" s="55"/>
      <c r="E511" s="55"/>
      <c r="F511" s="55"/>
      <c r="G511" s="55"/>
      <c r="H511" s="55"/>
      <c r="I511" s="55"/>
      <c r="J511" s="96">
        <f>I513</f>
        <v>12.3</v>
      </c>
      <c r="K511" s="123">
        <f t="shared" ref="K511:N511" si="268">J513</f>
        <v>11.841666666666667</v>
      </c>
      <c r="L511" s="123">
        <f t="shared" si="268"/>
        <v>11.508333333333333</v>
      </c>
      <c r="M511" s="123">
        <f t="shared" si="268"/>
        <v>11.258333333333333</v>
      </c>
      <c r="N511" s="123">
        <f t="shared" si="268"/>
        <v>10.924999999999999</v>
      </c>
    </row>
    <row r="512" spans="2:16" x14ac:dyDescent="0.3">
      <c r="C512" s="55" t="str">
        <f>C456</f>
        <v>Issuance/(buyback) of common shares</v>
      </c>
      <c r="D512" s="55"/>
      <c r="E512" s="55"/>
      <c r="F512" s="55"/>
      <c r="G512" s="55"/>
      <c r="H512" s="55"/>
      <c r="I512" s="55"/>
      <c r="J512" s="123">
        <f>J476</f>
        <v>-0.45833333333333331</v>
      </c>
      <c r="K512" s="123">
        <f>K476</f>
        <v>-0.33333333333333337</v>
      </c>
      <c r="L512" s="123">
        <f>L476</f>
        <v>-0.25</v>
      </c>
      <c r="M512" s="123">
        <f>M476</f>
        <v>-0.33333333333333337</v>
      </c>
      <c r="N512" s="123">
        <f>N476</f>
        <v>-0.33333333333333337</v>
      </c>
    </row>
    <row r="513" spans="3:14" x14ac:dyDescent="0.3">
      <c r="C513" s="96" t="s">
        <v>355</v>
      </c>
      <c r="D513" s="55"/>
      <c r="E513" s="55"/>
      <c r="F513" s="55"/>
      <c r="G513" s="55"/>
      <c r="H513" s="55"/>
      <c r="I513" s="55">
        <f>I440</f>
        <v>12.3</v>
      </c>
      <c r="J513" s="122">
        <f>SUM(J511:J512)</f>
        <v>11.841666666666667</v>
      </c>
      <c r="K513" s="122">
        <f t="shared" ref="K513:N513" si="269">SUM(K511:K512)</f>
        <v>11.508333333333333</v>
      </c>
      <c r="L513" s="122">
        <f t="shared" si="269"/>
        <v>11.258333333333333</v>
      </c>
      <c r="M513" s="122">
        <f t="shared" si="269"/>
        <v>10.924999999999999</v>
      </c>
      <c r="N513" s="122">
        <f t="shared" si="269"/>
        <v>10.591666666666665</v>
      </c>
    </row>
    <row r="515" spans="3:14" x14ac:dyDescent="0.3">
      <c r="C515" s="102" t="s">
        <v>1107</v>
      </c>
      <c r="D515" s="55"/>
      <c r="E515" s="55"/>
      <c r="F515" s="55"/>
      <c r="G515" s="55"/>
      <c r="H515" s="55"/>
      <c r="I515" s="55"/>
      <c r="J515" s="121"/>
      <c r="K515" s="121"/>
      <c r="L515" s="121"/>
      <c r="M515" s="121"/>
      <c r="N515" s="121"/>
    </row>
    <row r="516" spans="3:14" x14ac:dyDescent="0.3">
      <c r="C516" s="96" t="s">
        <v>1110</v>
      </c>
      <c r="D516" s="55"/>
      <c r="E516" s="55"/>
      <c r="F516" s="55"/>
      <c r="G516" s="55"/>
      <c r="H516" s="55"/>
      <c r="I516" s="55"/>
      <c r="J516" s="123">
        <f>I522</f>
        <v>3494</v>
      </c>
      <c r="K516" s="123">
        <f>J522</f>
        <v>3721.9121457881383</v>
      </c>
      <c r="L516" s="123">
        <f t="shared" ref="L516:N516" si="270">K522</f>
        <v>4106.9377543112751</v>
      </c>
      <c r="M516" s="123">
        <f t="shared" si="270"/>
        <v>4678.0824526965853</v>
      </c>
      <c r="N516" s="123">
        <f t="shared" si="270"/>
        <v>5224.5223013265131</v>
      </c>
    </row>
    <row r="517" spans="3:14" x14ac:dyDescent="0.3">
      <c r="C517" s="96" t="s">
        <v>1108</v>
      </c>
      <c r="D517" s="55"/>
      <c r="E517" s="55"/>
      <c r="F517" s="55"/>
      <c r="G517" s="55"/>
      <c r="H517" s="55"/>
      <c r="I517" s="55"/>
      <c r="J517" s="123">
        <f>J37</f>
        <v>1041.4938083798252</v>
      </c>
      <c r="K517" s="123">
        <f>K37</f>
        <v>1137.7566108762992</v>
      </c>
      <c r="L517" s="123">
        <f>L37</f>
        <v>1268.2951096815341</v>
      </c>
      <c r="M517" s="123">
        <f>M37</f>
        <v>1381.7048293861781</v>
      </c>
      <c r="N517" s="123">
        <f>N37</f>
        <v>1500.4139054981624</v>
      </c>
    </row>
    <row r="518" spans="3:14" x14ac:dyDescent="0.3">
      <c r="C518" s="96" t="s">
        <v>1284</v>
      </c>
      <c r="D518" s="55"/>
      <c r="E518" s="55"/>
      <c r="F518" s="55"/>
      <c r="G518" s="55"/>
      <c r="H518" s="55"/>
      <c r="I518" s="55"/>
      <c r="J518" s="123">
        <f>J460</f>
        <v>550</v>
      </c>
      <c r="K518" s="123">
        <f>K460</f>
        <v>400</v>
      </c>
      <c r="L518" s="123">
        <f>L460</f>
        <v>300</v>
      </c>
      <c r="M518" s="123">
        <f>M460</f>
        <v>400</v>
      </c>
      <c r="N518" s="123">
        <f>N460</f>
        <v>400</v>
      </c>
    </row>
    <row r="519" spans="3:14" x14ac:dyDescent="0.3">
      <c r="C519" s="96" t="s">
        <v>228</v>
      </c>
      <c r="D519" s="55"/>
      <c r="E519" s="55"/>
      <c r="F519" s="55"/>
      <c r="G519" s="55"/>
      <c r="H519" s="55"/>
      <c r="I519" s="55"/>
      <c r="J519" s="123">
        <f>J100</f>
        <v>45.418337408312965</v>
      </c>
      <c r="K519" s="123">
        <f>K100</f>
        <v>47.861377562305357</v>
      </c>
      <c r="L519" s="123">
        <f>L100</f>
        <v>50.435828189128635</v>
      </c>
      <c r="M519" s="123">
        <f>M100</f>
        <v>53.148757822773703</v>
      </c>
      <c r="N519" s="123">
        <f>N100</f>
        <v>56.007615211773761</v>
      </c>
    </row>
    <row r="520" spans="3:14" x14ac:dyDescent="0.3">
      <c r="C520" s="96" t="s">
        <v>1286</v>
      </c>
      <c r="D520" s="55"/>
      <c r="E520" s="55"/>
      <c r="F520" s="55"/>
      <c r="G520" s="55"/>
      <c r="H520" s="55"/>
      <c r="I520" s="55"/>
      <c r="J520" s="123">
        <f>J147-J535</f>
        <v>9</v>
      </c>
      <c r="K520" s="123">
        <f>K147-K535</f>
        <v>9</v>
      </c>
      <c r="L520" s="123">
        <f>L147-L535</f>
        <v>9</v>
      </c>
      <c r="M520" s="123">
        <f>M147-M535</f>
        <v>9</v>
      </c>
      <c r="N520" s="123">
        <f>N147-N535</f>
        <v>9</v>
      </c>
    </row>
    <row r="521" spans="3:14" x14ac:dyDescent="0.3">
      <c r="C521" s="96" t="s">
        <v>1109</v>
      </c>
      <c r="D521" s="55"/>
      <c r="E521" s="55"/>
      <c r="F521" s="55"/>
      <c r="G521" s="55"/>
      <c r="H521" s="55"/>
      <c r="I521" s="55"/>
      <c r="J521" s="123">
        <f>-J143</f>
        <v>318</v>
      </c>
      <c r="K521" s="123">
        <f>$J$461*K37</f>
        <v>409.59237991546769</v>
      </c>
      <c r="L521" s="123">
        <f>$J$461*L37</f>
        <v>456.58623948535228</v>
      </c>
      <c r="M521" s="123">
        <f>$J$461*M37</f>
        <v>497.41373857902408</v>
      </c>
      <c r="N521" s="123">
        <f>$J$461*N37</f>
        <v>540.14900597933843</v>
      </c>
    </row>
    <row r="522" spans="3:14" x14ac:dyDescent="0.3">
      <c r="C522" s="96" t="s">
        <v>355</v>
      </c>
      <c r="D522" s="55"/>
      <c r="E522" s="55"/>
      <c r="F522" s="55"/>
      <c r="G522" s="55"/>
      <c r="H522" s="55"/>
      <c r="I522" s="55">
        <f>I448</f>
        <v>3494</v>
      </c>
      <c r="J522" s="122">
        <f>J516+J517-J518+J519+J520-J521</f>
        <v>3721.9121457881383</v>
      </c>
      <c r="K522" s="122">
        <f t="shared" ref="K522:N522" si="271">K516+K517-K518+K519+K520-K521</f>
        <v>4106.9377543112751</v>
      </c>
      <c r="L522" s="122">
        <f t="shared" si="271"/>
        <v>4678.0824526965853</v>
      </c>
      <c r="M522" s="122">
        <f t="shared" si="271"/>
        <v>5224.5223013265131</v>
      </c>
      <c r="N522" s="122">
        <f t="shared" si="271"/>
        <v>5849.7948160571104</v>
      </c>
    </row>
    <row r="525" spans="3:14" x14ac:dyDescent="0.3"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</row>
    <row r="526" spans="3:14" x14ac:dyDescent="0.3">
      <c r="C526" s="102" t="str">
        <f>C442</f>
        <v>Capital redemption reserve</v>
      </c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</row>
    <row r="527" spans="3:14" x14ac:dyDescent="0.3">
      <c r="C527" s="96" t="s">
        <v>1153</v>
      </c>
      <c r="D527" s="55"/>
      <c r="E527" s="55"/>
      <c r="F527" s="55"/>
      <c r="G527" s="55"/>
      <c r="H527" s="55"/>
      <c r="I527" s="55"/>
      <c r="J527" s="96">
        <f>I529</f>
        <v>458.5</v>
      </c>
      <c r="K527" s="123">
        <f t="shared" ref="K527:N527" si="272">J529</f>
        <v>458.95833333333331</v>
      </c>
      <c r="L527" s="123">
        <f t="shared" si="272"/>
        <v>459.29166666666663</v>
      </c>
      <c r="M527" s="123">
        <f t="shared" si="272"/>
        <v>459.54166666666663</v>
      </c>
      <c r="N527" s="123">
        <f t="shared" si="272"/>
        <v>459.87499999999994</v>
      </c>
    </row>
    <row r="528" spans="3:14" x14ac:dyDescent="0.3">
      <c r="C528" s="96" t="s">
        <v>1154</v>
      </c>
      <c r="D528" s="55"/>
      <c r="E528" s="55"/>
      <c r="F528" s="55"/>
      <c r="G528" s="55"/>
      <c r="H528" s="55"/>
      <c r="I528" s="55"/>
      <c r="J528" s="123">
        <f>-J512</f>
        <v>0.45833333333333331</v>
      </c>
      <c r="K528" s="123">
        <f>-K512</f>
        <v>0.33333333333333337</v>
      </c>
      <c r="L528" s="123">
        <f>-L512</f>
        <v>0.25</v>
      </c>
      <c r="M528" s="123">
        <f>-M512</f>
        <v>0.33333333333333337</v>
      </c>
      <c r="N528" s="123">
        <f>-N512</f>
        <v>0.33333333333333337</v>
      </c>
    </row>
    <row r="529" spans="3:14" x14ac:dyDescent="0.3">
      <c r="C529" t="s">
        <v>1155</v>
      </c>
      <c r="I529" s="47">
        <f>I442</f>
        <v>458.5</v>
      </c>
      <c r="J529" s="57">
        <f>SUM(J527:J528)</f>
        <v>458.95833333333331</v>
      </c>
      <c r="K529" s="57">
        <f t="shared" ref="K529:N529" si="273">SUM(K527:K528)</f>
        <v>459.29166666666663</v>
      </c>
      <c r="L529" s="57">
        <f t="shared" si="273"/>
        <v>459.54166666666663</v>
      </c>
      <c r="M529" s="57">
        <f t="shared" si="273"/>
        <v>459.87499999999994</v>
      </c>
      <c r="N529" s="57">
        <f t="shared" si="273"/>
        <v>460.20833333333326</v>
      </c>
    </row>
    <row r="532" spans="3:14" x14ac:dyDescent="0.3">
      <c r="C532" s="147" t="s">
        <v>1163</v>
      </c>
    </row>
    <row r="533" spans="3:14" x14ac:dyDescent="0.3">
      <c r="C533" t="s">
        <v>1157</v>
      </c>
      <c r="J533">
        <f>I536</f>
        <v>-442.4</v>
      </c>
      <c r="K533">
        <f>J536</f>
        <v>-346.4</v>
      </c>
      <c r="L533">
        <f t="shared" ref="L533:N533" si="274">K536</f>
        <v>-419.4</v>
      </c>
      <c r="M533">
        <f t="shared" si="274"/>
        <v>-492.4</v>
      </c>
      <c r="N533">
        <f t="shared" si="274"/>
        <v>-565.4</v>
      </c>
    </row>
    <row r="534" spans="3:14" x14ac:dyDescent="0.3">
      <c r="C534" t="s">
        <v>1158</v>
      </c>
      <c r="K534">
        <f>K146</f>
        <v>-169</v>
      </c>
      <c r="L534">
        <f>L146</f>
        <v>-169</v>
      </c>
      <c r="M534">
        <f>M146</f>
        <v>-169</v>
      </c>
      <c r="N534">
        <f>N146</f>
        <v>-169</v>
      </c>
    </row>
    <row r="535" spans="3:14" x14ac:dyDescent="0.3">
      <c r="C535" t="s">
        <v>1159</v>
      </c>
      <c r="J535">
        <f>J465</f>
        <v>96</v>
      </c>
      <c r="K535">
        <f>J535</f>
        <v>96</v>
      </c>
      <c r="L535">
        <f t="shared" ref="L535:N535" si="275">K535</f>
        <v>96</v>
      </c>
      <c r="M535">
        <f t="shared" si="275"/>
        <v>96</v>
      </c>
      <c r="N535">
        <f t="shared" si="275"/>
        <v>96</v>
      </c>
    </row>
    <row r="536" spans="3:14" x14ac:dyDescent="0.3">
      <c r="C536" t="s">
        <v>1160</v>
      </c>
      <c r="I536" s="47">
        <f>I443</f>
        <v>-442.4</v>
      </c>
      <c r="J536" s="47">
        <f>SUM(J533:J535)</f>
        <v>-346.4</v>
      </c>
      <c r="K536" s="47">
        <f t="shared" ref="K536:N536" si="276">SUM(K533:K535)</f>
        <v>-419.4</v>
      </c>
      <c r="L536" s="47">
        <f t="shared" si="276"/>
        <v>-492.4</v>
      </c>
      <c r="M536" s="47">
        <f t="shared" si="276"/>
        <v>-565.4</v>
      </c>
      <c r="N536" s="47">
        <f t="shared" si="276"/>
        <v>-638.4</v>
      </c>
    </row>
    <row r="539" spans="3:14" x14ac:dyDescent="0.3">
      <c r="C539" s="147" t="s">
        <v>1164</v>
      </c>
    </row>
    <row r="540" spans="3:14" x14ac:dyDescent="0.3">
      <c r="C540" t="s">
        <v>1169</v>
      </c>
      <c r="J540" s="99">
        <f>I544</f>
        <v>118</v>
      </c>
      <c r="K540" s="99">
        <f>J544</f>
        <v>127.23462962962964</v>
      </c>
      <c r="L540" s="99">
        <f t="shared" ref="L540:N540" si="277">K544</f>
        <v>138.25893575925926</v>
      </c>
      <c r="M540" s="99">
        <f t="shared" si="277"/>
        <v>151.97943405162505</v>
      </c>
      <c r="N540" s="99">
        <f t="shared" si="277"/>
        <v>168.07223963774004</v>
      </c>
    </row>
    <row r="541" spans="3:14" x14ac:dyDescent="0.3">
      <c r="C541" t="s">
        <v>1178</v>
      </c>
      <c r="J541" s="99">
        <f>I38*(1+J470)</f>
        <v>11.234629629629634</v>
      </c>
      <c r="K541" s="99">
        <f>J38*(1+K470)</f>
        <v>13.024306129629634</v>
      </c>
      <c r="L541" s="99">
        <f>K38*(1+L470)</f>
        <v>15.7204982923658</v>
      </c>
      <c r="M541" s="99">
        <f>L38*(1+M470)</f>
        <v>18.092805586114999</v>
      </c>
      <c r="N541" s="99">
        <f>M38*(1+N470)</f>
        <v>20.286279053468608</v>
      </c>
    </row>
    <row r="542" spans="3:14" x14ac:dyDescent="0.3">
      <c r="C542" t="s">
        <v>1306</v>
      </c>
      <c r="J542" s="99">
        <f>J164</f>
        <v>-2</v>
      </c>
      <c r="K542" s="99">
        <f t="shared" ref="K542:N542" si="278">K164</f>
        <v>-2</v>
      </c>
      <c r="L542" s="99">
        <f t="shared" si="278"/>
        <v>-2</v>
      </c>
      <c r="M542" s="99">
        <f t="shared" si="278"/>
        <v>-2</v>
      </c>
      <c r="N542" s="99">
        <f t="shared" si="278"/>
        <v>-2</v>
      </c>
    </row>
    <row r="543" spans="3:14" x14ac:dyDescent="0.3">
      <c r="J543" s="99"/>
      <c r="K543" s="99"/>
      <c r="L543" s="99"/>
      <c r="M543" s="99"/>
      <c r="N543" s="99"/>
    </row>
    <row r="544" spans="3:14" x14ac:dyDescent="0.3">
      <c r="C544" t="s">
        <v>1172</v>
      </c>
      <c r="I544" s="47">
        <f>I450</f>
        <v>118</v>
      </c>
      <c r="J544" s="111">
        <f>J540+J541+J542</f>
        <v>127.23462962962964</v>
      </c>
      <c r="K544" s="111">
        <f t="shared" ref="K544:N544" si="279">K540+K541+K542</f>
        <v>138.25893575925926</v>
      </c>
      <c r="L544" s="111">
        <f t="shared" si="279"/>
        <v>151.97943405162505</v>
      </c>
      <c r="M544" s="111">
        <f t="shared" si="279"/>
        <v>168.07223963774004</v>
      </c>
      <c r="N544" s="111">
        <f t="shared" si="279"/>
        <v>186.35851869120864</v>
      </c>
    </row>
    <row r="548" spans="1:20" ht="21.6" thickBot="1" x14ac:dyDescent="0.45">
      <c r="A548" s="127"/>
      <c r="B548" s="127"/>
      <c r="C548" s="208" t="s">
        <v>109</v>
      </c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  <c r="N548" s="208"/>
      <c r="O548" s="127"/>
      <c r="P548" s="127"/>
      <c r="Q548" s="127"/>
      <c r="R548" s="127"/>
      <c r="S548" s="127"/>
      <c r="T548" s="127"/>
    </row>
    <row r="549" spans="1:20" x14ac:dyDescent="0.3">
      <c r="C549" s="2" t="s">
        <v>307</v>
      </c>
    </row>
    <row r="550" spans="1:20" x14ac:dyDescent="0.3">
      <c r="C550" t="s">
        <v>1201</v>
      </c>
      <c r="E550">
        <v>50.4</v>
      </c>
      <c r="F550">
        <v>47.3</v>
      </c>
      <c r="G550">
        <v>47.9</v>
      </c>
      <c r="H550">
        <v>54.8</v>
      </c>
      <c r="I550">
        <v>55.6</v>
      </c>
      <c r="J550" s="99">
        <f>J563</f>
        <v>-54.799763406940059</v>
      </c>
      <c r="K550" s="99">
        <f>K563</f>
        <v>-52.038984112651249</v>
      </c>
      <c r="L550" s="99">
        <f>L563</f>
        <v>-49.608658654737951</v>
      </c>
      <c r="M550" s="99">
        <f>M563</f>
        <v>-47.666480661839323</v>
      </c>
      <c r="N550" s="99">
        <f>N563</f>
        <v>-46.186176363287125</v>
      </c>
    </row>
    <row r="551" spans="1:20" x14ac:dyDescent="0.3">
      <c r="C551" t="s">
        <v>308</v>
      </c>
      <c r="E551">
        <v>36.1</v>
      </c>
      <c r="F551">
        <v>29.8</v>
      </c>
      <c r="G551">
        <v>39.1</v>
      </c>
      <c r="H551">
        <v>41.6</v>
      </c>
      <c r="I551">
        <v>40.6</v>
      </c>
      <c r="J551" s="99">
        <f>J565+J564</f>
        <v>34.233029761643834</v>
      </c>
      <c r="K551" s="99">
        <f>K565+K564</f>
        <v>29.89594822848067</v>
      </c>
      <c r="L551" s="99">
        <f>L565+L564</f>
        <v>19.628013698630138</v>
      </c>
      <c r="M551" s="99">
        <f>M565+M564</f>
        <v>16.440000000000001</v>
      </c>
      <c r="N551" s="99">
        <f>N565+N564</f>
        <v>16.440000000000001</v>
      </c>
    </row>
    <row r="552" spans="1:20" x14ac:dyDescent="0.3">
      <c r="C552" t="s">
        <v>1278</v>
      </c>
      <c r="E552" s="2">
        <f>E550+E551</f>
        <v>86.5</v>
      </c>
      <c r="F552" s="2">
        <f t="shared" ref="F552:N552" si="280">F550+F551</f>
        <v>77.099999999999994</v>
      </c>
      <c r="G552" s="2">
        <f t="shared" si="280"/>
        <v>87</v>
      </c>
      <c r="H552" s="2">
        <f t="shared" si="280"/>
        <v>96.4</v>
      </c>
      <c r="I552" s="2">
        <f t="shared" si="280"/>
        <v>96.2</v>
      </c>
      <c r="J552" s="126">
        <f>J550+J551</f>
        <v>-20.566733645296225</v>
      </c>
      <c r="K552" s="126">
        <f t="shared" si="280"/>
        <v>-22.14303588417058</v>
      </c>
      <c r="L552" s="126">
        <f t="shared" si="280"/>
        <v>-29.980644956107813</v>
      </c>
      <c r="M552" s="126">
        <f t="shared" si="280"/>
        <v>-31.226480661839322</v>
      </c>
      <c r="N552" s="126">
        <f t="shared" si="280"/>
        <v>-29.746176363287123</v>
      </c>
    </row>
    <row r="553" spans="1:20" x14ac:dyDescent="0.3">
      <c r="C553" t="s">
        <v>309</v>
      </c>
      <c r="F553">
        <v>0.8</v>
      </c>
      <c r="G553">
        <v>0.5</v>
      </c>
      <c r="H553">
        <v>0.2</v>
      </c>
      <c r="I553">
        <v>1</v>
      </c>
      <c r="J553" s="99">
        <f>J739</f>
        <v>1.1067974350904137</v>
      </c>
      <c r="K553" s="99">
        <f>K739</f>
        <v>1.203416072743138</v>
      </c>
      <c r="L553" s="99">
        <f>L739</f>
        <v>1.3018626977520327</v>
      </c>
      <c r="M553" s="99">
        <f>M739</f>
        <v>1.4021718949327762</v>
      </c>
      <c r="N553" s="99">
        <f>N739</f>
        <v>1.5043789034324191</v>
      </c>
    </row>
    <row r="554" spans="1:20" x14ac:dyDescent="0.3">
      <c r="C554" t="s">
        <v>1279</v>
      </c>
      <c r="E554" s="47">
        <f>SUM(E552:E553)</f>
        <v>86.5</v>
      </c>
      <c r="F554" s="47">
        <f t="shared" ref="F554:N554" si="281">SUM(F552:F553)</f>
        <v>77.899999999999991</v>
      </c>
      <c r="G554" s="47">
        <f t="shared" si="281"/>
        <v>87.5</v>
      </c>
      <c r="H554" s="47">
        <f t="shared" si="281"/>
        <v>96.600000000000009</v>
      </c>
      <c r="I554" s="47">
        <f t="shared" si="281"/>
        <v>97.2</v>
      </c>
      <c r="J554" s="111">
        <f t="shared" si="281"/>
        <v>-19.459936210205811</v>
      </c>
      <c r="K554" s="111">
        <f t="shared" si="281"/>
        <v>-20.939619811427441</v>
      </c>
      <c r="L554" s="111">
        <f t="shared" si="281"/>
        <v>-28.678782258355781</v>
      </c>
      <c r="M554" s="111">
        <f t="shared" si="281"/>
        <v>-29.824308766906544</v>
      </c>
      <c r="N554" s="111">
        <f t="shared" si="281"/>
        <v>-28.241797459854705</v>
      </c>
    </row>
    <row r="555" spans="1:20" x14ac:dyDescent="0.3">
      <c r="J555" s="99"/>
      <c r="K555" s="99"/>
      <c r="L555" s="99"/>
      <c r="M555" s="99"/>
      <c r="N555" s="99"/>
    </row>
    <row r="556" spans="1:20" x14ac:dyDescent="0.3">
      <c r="J556" s="99"/>
      <c r="K556" s="99"/>
      <c r="L556" s="99"/>
      <c r="M556" s="99"/>
      <c r="N556" s="99"/>
    </row>
    <row r="557" spans="1:20" x14ac:dyDescent="0.3">
      <c r="C557" s="2" t="s">
        <v>125</v>
      </c>
      <c r="J557" s="99"/>
      <c r="K557" s="99"/>
      <c r="L557" s="99"/>
      <c r="M557" s="99"/>
      <c r="N557" s="99"/>
    </row>
    <row r="558" spans="1:20" x14ac:dyDescent="0.3">
      <c r="C558" t="s">
        <v>311</v>
      </c>
      <c r="E558">
        <v>0.6</v>
      </c>
      <c r="F558">
        <v>0.1</v>
      </c>
      <c r="G558">
        <v>2.5</v>
      </c>
      <c r="H558">
        <v>7.2</v>
      </c>
      <c r="I558">
        <v>9.1999999999999993</v>
      </c>
      <c r="J558" s="99">
        <f>J776</f>
        <v>3.6074999999999999</v>
      </c>
      <c r="K558" s="99">
        <f>K776</f>
        <v>4.0783889999999987</v>
      </c>
      <c r="L558" s="99">
        <f>L776</f>
        <v>8.0064959907802873</v>
      </c>
      <c r="M558" s="99">
        <f>M776</f>
        <v>9.145089425808079</v>
      </c>
      <c r="N558" s="99">
        <f>N776</f>
        <v>20.045054704595817</v>
      </c>
    </row>
    <row r="559" spans="1:20" x14ac:dyDescent="0.3">
      <c r="C559" t="s">
        <v>312</v>
      </c>
      <c r="E559">
        <v>3.6</v>
      </c>
      <c r="F559">
        <v>5.6</v>
      </c>
      <c r="G559">
        <v>4.3</v>
      </c>
      <c r="H559">
        <v>1</v>
      </c>
      <c r="I559">
        <v>1.8</v>
      </c>
      <c r="J559" s="99">
        <v>0</v>
      </c>
      <c r="K559" s="99">
        <f t="shared" ref="K559:N559" si="282">J559</f>
        <v>0</v>
      </c>
      <c r="L559" s="99">
        <f t="shared" si="282"/>
        <v>0</v>
      </c>
      <c r="M559" s="99">
        <f t="shared" si="282"/>
        <v>0</v>
      </c>
      <c r="N559" s="99">
        <f t="shared" si="282"/>
        <v>0</v>
      </c>
    </row>
    <row r="560" spans="1:20" x14ac:dyDescent="0.3">
      <c r="C560" t="s">
        <v>1280</v>
      </c>
      <c r="E560" s="47">
        <f>SUM(E558:E559)</f>
        <v>4.2</v>
      </c>
      <c r="F560" s="47">
        <f t="shared" ref="F560:N560" si="283">SUM(F558:F559)</f>
        <v>5.6999999999999993</v>
      </c>
      <c r="G560" s="47">
        <f t="shared" si="283"/>
        <v>6.8</v>
      </c>
      <c r="H560" s="47">
        <f t="shared" si="283"/>
        <v>8.1999999999999993</v>
      </c>
      <c r="I560" s="47">
        <f t="shared" si="283"/>
        <v>11</v>
      </c>
      <c r="J560" s="111">
        <f>SUM(J558:J559)</f>
        <v>3.6074999999999999</v>
      </c>
      <c r="K560" s="111">
        <f t="shared" si="283"/>
        <v>4.0783889999999987</v>
      </c>
      <c r="L560" s="111">
        <f t="shared" si="283"/>
        <v>8.0064959907802873</v>
      </c>
      <c r="M560" s="111">
        <f t="shared" si="283"/>
        <v>9.145089425808079</v>
      </c>
      <c r="N560" s="111">
        <f t="shared" si="283"/>
        <v>20.045054704595817</v>
      </c>
    </row>
    <row r="561" spans="1:14" ht="21" x14ac:dyDescent="0.4"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</row>
    <row r="562" spans="1:14" x14ac:dyDescent="0.3">
      <c r="C562" s="2" t="s">
        <v>1187</v>
      </c>
      <c r="J562" s="99"/>
      <c r="K562" s="99"/>
      <c r="L562" s="99"/>
      <c r="M562" s="99"/>
      <c r="N562" s="99"/>
    </row>
    <row r="563" spans="1:14" x14ac:dyDescent="0.3">
      <c r="C563" t="s">
        <v>1189</v>
      </c>
      <c r="J563" s="99">
        <f>J757</f>
        <v>-54.799763406940059</v>
      </c>
      <c r="K563" s="99">
        <f t="shared" ref="K563:N563" si="284">K757</f>
        <v>-52.038984112651249</v>
      </c>
      <c r="L563" s="99">
        <f t="shared" si="284"/>
        <v>-49.608658654737951</v>
      </c>
      <c r="M563" s="99">
        <f t="shared" si="284"/>
        <v>-47.666480661839323</v>
      </c>
      <c r="N563" s="99">
        <f t="shared" si="284"/>
        <v>-46.186176363287125</v>
      </c>
    </row>
    <row r="564" spans="1:14" x14ac:dyDescent="0.3">
      <c r="C564" t="s">
        <v>1188</v>
      </c>
      <c r="J564" s="99">
        <f>J729</f>
        <v>29.955629761643834</v>
      </c>
      <c r="K564" s="99">
        <f>K729</f>
        <v>25.875</v>
      </c>
      <c r="L564" s="99">
        <f>L729</f>
        <v>18.188013698630137</v>
      </c>
      <c r="M564" s="99">
        <f>M729</f>
        <v>15</v>
      </c>
      <c r="N564" s="99">
        <f>N729</f>
        <v>15</v>
      </c>
    </row>
    <row r="565" spans="1:14" x14ac:dyDescent="0.3">
      <c r="C565" t="s">
        <v>1191</v>
      </c>
      <c r="J565" s="99">
        <f>J572</f>
        <v>4.2774000000000001</v>
      </c>
      <c r="K565" s="99">
        <f>K572</f>
        <v>4.0209482284806688</v>
      </c>
      <c r="L565" s="99">
        <f>L572</f>
        <v>1.44</v>
      </c>
      <c r="M565" s="99">
        <f>M572</f>
        <v>1.44</v>
      </c>
      <c r="N565" s="99">
        <f>N572</f>
        <v>1.44</v>
      </c>
    </row>
    <row r="566" spans="1:14" x14ac:dyDescent="0.3">
      <c r="J566" s="111">
        <f>J563+J564+J565</f>
        <v>-20.566733645296225</v>
      </c>
      <c r="K566" s="111">
        <f t="shared" ref="K566:N566" si="285">K563+K564+K565</f>
        <v>-22.14303588417058</v>
      </c>
      <c r="L566" s="111">
        <f t="shared" si="285"/>
        <v>-29.980644956107813</v>
      </c>
      <c r="M566" s="111">
        <f t="shared" si="285"/>
        <v>-31.226480661839322</v>
      </c>
      <c r="N566" s="111">
        <f t="shared" si="285"/>
        <v>-29.746176363287123</v>
      </c>
    </row>
    <row r="567" spans="1:14" x14ac:dyDescent="0.3">
      <c r="C567" s="2" t="s">
        <v>784</v>
      </c>
    </row>
    <row r="568" spans="1:14" x14ac:dyDescent="0.3">
      <c r="C568" t="s">
        <v>1190</v>
      </c>
      <c r="J568" s="126">
        <f>J776</f>
        <v>3.6074999999999999</v>
      </c>
      <c r="K568" s="126">
        <f>K776</f>
        <v>4.0783889999999987</v>
      </c>
      <c r="L568" s="126">
        <f>L776</f>
        <v>8.0064959907802873</v>
      </c>
      <c r="M568" s="126">
        <f>M776</f>
        <v>9.145089425808079</v>
      </c>
      <c r="N568" s="126">
        <f>N776</f>
        <v>20.045054704595817</v>
      </c>
    </row>
    <row r="570" spans="1:14" x14ac:dyDescent="0.3">
      <c r="C570" t="s">
        <v>1288</v>
      </c>
      <c r="E570" s="2"/>
      <c r="F570" s="2"/>
      <c r="G570" s="2"/>
      <c r="H570" s="2"/>
      <c r="I570" s="2"/>
      <c r="J570">
        <f>J688</f>
        <v>1.44</v>
      </c>
      <c r="K570">
        <f>K688</f>
        <v>1.44</v>
      </c>
      <c r="L570">
        <f>L688</f>
        <v>1.44</v>
      </c>
      <c r="M570">
        <f>M688</f>
        <v>1.44</v>
      </c>
      <c r="N570">
        <f>N688</f>
        <v>1.44</v>
      </c>
    </row>
    <row r="571" spans="1:14" x14ac:dyDescent="0.3">
      <c r="C571" t="s">
        <v>1287</v>
      </c>
      <c r="E571" s="2"/>
      <c r="F571" s="2"/>
      <c r="G571" s="2"/>
      <c r="H571" s="2"/>
      <c r="I571" s="2"/>
      <c r="J571" s="99">
        <f>J680</f>
        <v>2.8373999999999997</v>
      </c>
      <c r="K571" s="99">
        <f>K680</f>
        <v>2.5809482284806688</v>
      </c>
      <c r="L571" s="99">
        <f>L680</f>
        <v>0</v>
      </c>
      <c r="M571" s="99">
        <f>M680</f>
        <v>0</v>
      </c>
      <c r="N571" s="99">
        <f>N680</f>
        <v>0</v>
      </c>
    </row>
    <row r="572" spans="1:14" x14ac:dyDescent="0.3">
      <c r="C572" t="s">
        <v>113</v>
      </c>
      <c r="E572" s="2"/>
      <c r="F572" s="2"/>
      <c r="G572" s="2"/>
      <c r="H572" s="2"/>
      <c r="I572" s="2"/>
      <c r="J572" s="111">
        <f>J570+J571</f>
        <v>4.2774000000000001</v>
      </c>
      <c r="K572" s="111">
        <f t="shared" ref="K572:N572" si="286">K570+K571</f>
        <v>4.0209482284806688</v>
      </c>
      <c r="L572" s="111">
        <f t="shared" si="286"/>
        <v>1.44</v>
      </c>
      <c r="M572" s="111">
        <f t="shared" si="286"/>
        <v>1.44</v>
      </c>
      <c r="N572" s="111">
        <f t="shared" si="286"/>
        <v>1.44</v>
      </c>
    </row>
    <row r="573" spans="1:14" x14ac:dyDescent="0.3">
      <c r="E573" s="2"/>
      <c r="F573" s="2"/>
      <c r="G573" s="2"/>
      <c r="H573" s="2"/>
      <c r="I573" s="2"/>
      <c r="J573" s="126"/>
      <c r="K573" s="126"/>
      <c r="L573" s="126"/>
      <c r="M573" s="126"/>
      <c r="N573" s="126"/>
    </row>
    <row r="574" spans="1:14" ht="21" x14ac:dyDescent="0.4">
      <c r="C574" s="54" t="s">
        <v>1232</v>
      </c>
    </row>
    <row r="575" spans="1:14" x14ac:dyDescent="0.3">
      <c r="A575" t="s">
        <v>986</v>
      </c>
      <c r="C575" t="str">
        <f>C208</f>
        <v>Bank loans and overdrafts</v>
      </c>
      <c r="E575">
        <f>E208</f>
        <v>233.1</v>
      </c>
      <c r="F575">
        <f>F208</f>
        <v>102.3</v>
      </c>
      <c r="G575">
        <f>G208</f>
        <v>58.7</v>
      </c>
      <c r="H575">
        <f>H208</f>
        <v>60.6</v>
      </c>
      <c r="I575">
        <f>I208</f>
        <v>96</v>
      </c>
      <c r="J575" s="99">
        <f>J582</f>
        <v>90.577040145499453</v>
      </c>
      <c r="K575" s="99">
        <f>K582</f>
        <v>36</v>
      </c>
      <c r="L575" s="99">
        <f>L582</f>
        <v>36</v>
      </c>
      <c r="M575" s="99">
        <f>M582</f>
        <v>36</v>
      </c>
      <c r="N575" s="99">
        <f>N582</f>
        <v>36</v>
      </c>
    </row>
    <row r="576" spans="1:14" x14ac:dyDescent="0.3">
      <c r="A576" t="s">
        <v>1186</v>
      </c>
      <c r="C576" t="str">
        <f>C218</f>
        <v>Bank loans and overdraft</v>
      </c>
      <c r="E576">
        <f>E218</f>
        <v>0</v>
      </c>
      <c r="F576">
        <f>F218</f>
        <v>0</v>
      </c>
      <c r="G576">
        <f>G218</f>
        <v>29.5</v>
      </c>
      <c r="H576">
        <f>H218</f>
        <v>0</v>
      </c>
      <c r="I576">
        <f>I218</f>
        <v>0</v>
      </c>
      <c r="J576">
        <f>I576</f>
        <v>0</v>
      </c>
      <c r="K576">
        <f t="shared" ref="K576:N576" si="287">J576</f>
        <v>0</v>
      </c>
      <c r="L576">
        <f t="shared" si="287"/>
        <v>0</v>
      </c>
      <c r="M576">
        <f t="shared" si="287"/>
        <v>0</v>
      </c>
      <c r="N576">
        <f t="shared" si="287"/>
        <v>0</v>
      </c>
    </row>
    <row r="578" spans="1:14" x14ac:dyDescent="0.3">
      <c r="A578" t="s">
        <v>1007</v>
      </c>
      <c r="C578" s="2" t="s">
        <v>1232</v>
      </c>
    </row>
    <row r="579" spans="1:14" x14ac:dyDescent="0.3">
      <c r="C579" t="s">
        <v>1234</v>
      </c>
      <c r="E579">
        <v>233.1</v>
      </c>
      <c r="F579">
        <v>102.3</v>
      </c>
      <c r="G579">
        <v>30.1</v>
      </c>
      <c r="H579">
        <v>29.1</v>
      </c>
      <c r="I579">
        <v>36</v>
      </c>
      <c r="J579">
        <f>J686</f>
        <v>36</v>
      </c>
      <c r="K579">
        <f>K686</f>
        <v>36</v>
      </c>
      <c r="L579">
        <f>L686</f>
        <v>36</v>
      </c>
      <c r="M579">
        <f>M686</f>
        <v>36</v>
      </c>
      <c r="N579">
        <f>N686</f>
        <v>36</v>
      </c>
    </row>
    <row r="580" spans="1:14" x14ac:dyDescent="0.3">
      <c r="C580" t="s">
        <v>1235</v>
      </c>
      <c r="G580">
        <v>23.6</v>
      </c>
      <c r="I580">
        <v>60</v>
      </c>
      <c r="J580" s="99">
        <f>J677</f>
        <v>54.577040145499453</v>
      </c>
      <c r="K580" s="99">
        <f>K677</f>
        <v>0</v>
      </c>
      <c r="L580" s="99">
        <f>L677</f>
        <v>0</v>
      </c>
      <c r="M580" s="99">
        <f>M677</f>
        <v>0</v>
      </c>
      <c r="N580" s="99">
        <f>N677</f>
        <v>0</v>
      </c>
    </row>
    <row r="581" spans="1:14" x14ac:dyDescent="0.3">
      <c r="C581" t="s">
        <v>1233</v>
      </c>
      <c r="G581">
        <v>5</v>
      </c>
      <c r="H581">
        <v>31.5</v>
      </c>
      <c r="L581" s="99"/>
      <c r="M581" s="99"/>
      <c r="N581" s="99"/>
    </row>
    <row r="582" spans="1:14" x14ac:dyDescent="0.3">
      <c r="E582" s="47">
        <f t="shared" ref="E582:N582" si="288">SUM(E579:E581)</f>
        <v>233.1</v>
      </c>
      <c r="F582" s="47">
        <f t="shared" si="288"/>
        <v>102.3</v>
      </c>
      <c r="G582" s="47">
        <f t="shared" si="288"/>
        <v>58.7</v>
      </c>
      <c r="H582" s="47">
        <f t="shared" si="288"/>
        <v>60.6</v>
      </c>
      <c r="I582" s="47">
        <f t="shared" si="288"/>
        <v>96</v>
      </c>
      <c r="J582" s="111">
        <f t="shared" si="288"/>
        <v>90.577040145499453</v>
      </c>
      <c r="K582" s="111">
        <f t="shared" si="288"/>
        <v>36</v>
      </c>
      <c r="L582" s="111">
        <f t="shared" si="288"/>
        <v>36</v>
      </c>
      <c r="M582" s="111">
        <f t="shared" si="288"/>
        <v>36</v>
      </c>
      <c r="N582" s="111">
        <f t="shared" si="288"/>
        <v>36</v>
      </c>
    </row>
    <row r="584" spans="1:14" x14ac:dyDescent="0.3">
      <c r="C584" t="s">
        <v>473</v>
      </c>
      <c r="E584">
        <v>383</v>
      </c>
      <c r="F584">
        <v>105</v>
      </c>
      <c r="G584">
        <v>139.30000000000001</v>
      </c>
      <c r="H584">
        <v>107.9</v>
      </c>
      <c r="I584">
        <v>46.5</v>
      </c>
      <c r="J584" s="99">
        <f>J587-J585</f>
        <v>52.569671101871087</v>
      </c>
      <c r="K584" s="99">
        <f>K587-K585</f>
        <v>103.20223522419496</v>
      </c>
      <c r="L584" s="99">
        <f>L587-L585</f>
        <v>117.87849155927255</v>
      </c>
      <c r="M584" s="99">
        <f>M587-M585</f>
        <v>258.37700450830368</v>
      </c>
      <c r="N584" s="99">
        <f>N587-N585</f>
        <v>368.47646930625586</v>
      </c>
    </row>
    <row r="585" spans="1:14" x14ac:dyDescent="0.3">
      <c r="C585" t="s">
        <v>1245</v>
      </c>
      <c r="E585">
        <v>50</v>
      </c>
      <c r="H585">
        <v>92.5</v>
      </c>
      <c r="I585">
        <v>49.7</v>
      </c>
      <c r="J585" s="99">
        <f>J587*$J$644</f>
        <v>56.187368898128888</v>
      </c>
      <c r="K585" s="99">
        <f>K587*$J$644</f>
        <v>110.30432452994603</v>
      </c>
      <c r="L585" s="99">
        <f>L587*$J$644</f>
        <v>125.99055979560957</v>
      </c>
      <c r="M585" s="99">
        <f>M587*$J$644</f>
        <v>276.15778761425145</v>
      </c>
      <c r="N585" s="99">
        <f>N587*$J$644</f>
        <v>393.83398977464338</v>
      </c>
    </row>
    <row r="586" spans="1:14" x14ac:dyDescent="0.3">
      <c r="C586" t="s">
        <v>1246</v>
      </c>
      <c r="G586">
        <v>49</v>
      </c>
      <c r="J586" s="99">
        <f>I586</f>
        <v>0</v>
      </c>
      <c r="K586" s="99">
        <f>J586</f>
        <v>0</v>
      </c>
      <c r="L586" s="99">
        <f>K586</f>
        <v>0</v>
      </c>
      <c r="M586" s="99">
        <f>L586</f>
        <v>0</v>
      </c>
      <c r="N586" s="99">
        <f>M586</f>
        <v>0</v>
      </c>
    </row>
    <row r="587" spans="1:14" x14ac:dyDescent="0.3">
      <c r="C587" s="2" t="str">
        <f>C590</f>
        <v>cash and short term deposits</v>
      </c>
      <c r="E587" s="47">
        <f>SUM(E584:E586)</f>
        <v>433</v>
      </c>
      <c r="F587" s="47">
        <f>SUM(F584:F586)</f>
        <v>105</v>
      </c>
      <c r="G587" s="47">
        <f>SUM(G584:G586)</f>
        <v>188.3</v>
      </c>
      <c r="H587" s="47">
        <f>SUM(H584:H586)</f>
        <v>200.4</v>
      </c>
      <c r="I587" s="47">
        <f>SUM(I584:I586)</f>
        <v>96.2</v>
      </c>
      <c r="J587" s="111">
        <f>J590</f>
        <v>108.75703999999998</v>
      </c>
      <c r="K587" s="111">
        <f>K590</f>
        <v>213.50655975414099</v>
      </c>
      <c r="L587" s="111">
        <f>L590</f>
        <v>243.86905135488212</v>
      </c>
      <c r="M587" s="111">
        <f>M590</f>
        <v>534.53479212255513</v>
      </c>
      <c r="N587" s="111">
        <f>N590</f>
        <v>762.31045908089925</v>
      </c>
    </row>
    <row r="590" spans="1:14" x14ac:dyDescent="0.3">
      <c r="C590" t="str">
        <f>C202</f>
        <v>cash and short term deposits</v>
      </c>
      <c r="E590">
        <f>E587</f>
        <v>433</v>
      </c>
      <c r="F590">
        <f>F587</f>
        <v>105</v>
      </c>
      <c r="G590">
        <f>G587</f>
        <v>188.3</v>
      </c>
      <c r="H590">
        <f>H587</f>
        <v>200.4</v>
      </c>
      <c r="I590">
        <f>I587</f>
        <v>96.2</v>
      </c>
      <c r="J590" s="99">
        <f>J592+J591</f>
        <v>108.75703999999998</v>
      </c>
      <c r="K590" s="99">
        <f t="shared" ref="K590:N590" si="289">K592+K591</f>
        <v>213.50655975414099</v>
      </c>
      <c r="L590" s="99">
        <f t="shared" si="289"/>
        <v>243.86905135488212</v>
      </c>
      <c r="M590" s="99">
        <f t="shared" si="289"/>
        <v>534.53479212255513</v>
      </c>
      <c r="N590" s="99">
        <f t="shared" si="289"/>
        <v>762.31045908089925</v>
      </c>
    </row>
    <row r="591" spans="1:14" x14ac:dyDescent="0.3">
      <c r="C591" t="str">
        <f>C579</f>
        <v>Bank Overdrafts and short term borrowings</v>
      </c>
      <c r="E591">
        <f t="shared" ref="E591:N591" si="290">E579</f>
        <v>233.1</v>
      </c>
      <c r="F591">
        <f t="shared" si="290"/>
        <v>102.3</v>
      </c>
      <c r="G591">
        <f t="shared" si="290"/>
        <v>30.1</v>
      </c>
      <c r="H591">
        <f t="shared" si="290"/>
        <v>29.1</v>
      </c>
      <c r="I591">
        <f t="shared" si="290"/>
        <v>36</v>
      </c>
      <c r="J591" s="99">
        <f t="shared" si="290"/>
        <v>36</v>
      </c>
      <c r="K591" s="99">
        <f t="shared" si="290"/>
        <v>36</v>
      </c>
      <c r="L591" s="99">
        <f t="shared" si="290"/>
        <v>36</v>
      </c>
      <c r="M591" s="99">
        <f t="shared" si="290"/>
        <v>36</v>
      </c>
      <c r="N591" s="99">
        <f t="shared" si="290"/>
        <v>36</v>
      </c>
    </row>
    <row r="592" spans="1:14" x14ac:dyDescent="0.3">
      <c r="C592" s="2" t="s">
        <v>1244</v>
      </c>
      <c r="E592" s="47">
        <f t="shared" ref="E592:H592" si="291">E590-E591</f>
        <v>199.9</v>
      </c>
      <c r="F592" s="47">
        <f t="shared" si="291"/>
        <v>2.7000000000000028</v>
      </c>
      <c r="G592" s="47">
        <f t="shared" si="291"/>
        <v>158.20000000000002</v>
      </c>
      <c r="H592" s="47">
        <f t="shared" si="291"/>
        <v>171.3</v>
      </c>
      <c r="I592" s="47">
        <f>I590-I591</f>
        <v>60.2</v>
      </c>
      <c r="J592" s="111">
        <f>J170</f>
        <v>72.757039999999975</v>
      </c>
      <c r="K592" s="111">
        <f>K170</f>
        <v>177.50655975414099</v>
      </c>
      <c r="L592" s="111">
        <f>L170</f>
        <v>207.86905135488212</v>
      </c>
      <c r="M592" s="111">
        <f>M170</f>
        <v>498.53479212255513</v>
      </c>
      <c r="N592" s="111">
        <f>N170</f>
        <v>726.31045908089925</v>
      </c>
    </row>
    <row r="596" spans="2:16" x14ac:dyDescent="0.3"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</row>
    <row r="597" spans="2:16" x14ac:dyDescent="0.3">
      <c r="C597" s="55" t="str">
        <f>ASSUMPTIONS!C7</f>
        <v>Days in the period</v>
      </c>
      <c r="D597" s="55"/>
      <c r="E597" s="55"/>
      <c r="F597" s="55"/>
      <c r="G597" s="55"/>
      <c r="H597" s="55"/>
      <c r="I597" s="55"/>
      <c r="J597" s="132">
        <f>ASSUMPTIONS!J7</f>
        <v>365</v>
      </c>
      <c r="K597" s="132">
        <f>ASSUMPTIONS!K7</f>
        <v>366</v>
      </c>
      <c r="L597" s="132">
        <f>ASSUMPTIONS!L7</f>
        <v>365</v>
      </c>
      <c r="M597" s="132">
        <f>ASSUMPTIONS!M7</f>
        <v>365</v>
      </c>
      <c r="N597" s="132">
        <f>ASSUMPTIONS!N7</f>
        <v>365</v>
      </c>
    </row>
    <row r="598" spans="2:16" x14ac:dyDescent="0.3">
      <c r="C598" t="str">
        <f>ASSUMPTIONS!C290</f>
        <v>Bond repayable year</v>
      </c>
      <c r="I598">
        <f>I607</f>
        <v>112.9</v>
      </c>
      <c r="K598" s="82">
        <f>ASSUMPTIONS!K290</f>
        <v>300</v>
      </c>
      <c r="N598" s="82">
        <f>ASSUMPTIONS!N290</f>
        <v>300</v>
      </c>
    </row>
    <row r="599" spans="2:16" x14ac:dyDescent="0.3">
      <c r="C599" t="str">
        <f>ASSUMPTIONS!C292</f>
        <v>Net debt and financing</v>
      </c>
      <c r="J599" s="82">
        <f>ASSUMPTIONS!J292</f>
        <v>1125</v>
      </c>
    </row>
    <row r="601" spans="2:16" x14ac:dyDescent="0.3">
      <c r="C601" t="str">
        <f>ASSUMPTIONS!C294</f>
        <v>Net debt excluding lease debt</v>
      </c>
      <c r="J601" s="82">
        <f>ASSUMPTIONS!J294</f>
        <v>790</v>
      </c>
    </row>
    <row r="603" spans="2:16" x14ac:dyDescent="0.3">
      <c r="C603" t="str">
        <f>ASSUMPTIONS!C197</f>
        <v>Discount Unwind implied rate</v>
      </c>
      <c r="J603" s="124">
        <f>ASSUMPTIONS!J197</f>
        <v>1.8919614275049811E-2</v>
      </c>
    </row>
    <row r="604" spans="2:16" x14ac:dyDescent="0.3">
      <c r="J604" s="82"/>
    </row>
    <row r="605" spans="2:16" x14ac:dyDescent="0.3">
      <c r="C605" s="2" t="s">
        <v>1206</v>
      </c>
      <c r="J605" s="82"/>
    </row>
    <row r="606" spans="2:16" x14ac:dyDescent="0.3">
      <c r="C606" s="2" t="str">
        <f>ASSUMPTIONS!C151</f>
        <v>Nominal value Bonds Ending value</v>
      </c>
    </row>
    <row r="607" spans="2:16" x14ac:dyDescent="0.3">
      <c r="C607" t="str">
        <f>ASSUMPTIONS!C152</f>
        <v>Corporate bonds 4.375% repayable October 2026</v>
      </c>
      <c r="I607" s="82">
        <f>ASSUMPTIONS!I152</f>
        <v>112.9</v>
      </c>
    </row>
    <row r="608" spans="2:16" x14ac:dyDescent="0.3">
      <c r="C608" t="str">
        <f>ASSUMPTIONS!C153</f>
        <v>Corporate bonds 3.625% repayable May 2028</v>
      </c>
      <c r="I608" s="82">
        <f>ASSUMPTIONS!I153</f>
        <v>300</v>
      </c>
    </row>
    <row r="609" spans="3:12" x14ac:dyDescent="0.3">
      <c r="C609" t="str">
        <f>ASSUMPTIONS!C154</f>
        <v>Corporate bonds 5.0% repayable July 2031</v>
      </c>
      <c r="I609" s="82">
        <f>ASSUMPTIONS!I154</f>
        <v>300</v>
      </c>
    </row>
    <row r="610" spans="3:12" x14ac:dyDescent="0.3">
      <c r="I610" s="82"/>
    </row>
    <row r="611" spans="3:12" x14ac:dyDescent="0.3">
      <c r="C611" t="str">
        <f>ASSUMPTIONS!C146</f>
        <v>2026 Bonds-Floating-repaid 02/10/ 2026</v>
      </c>
    </row>
    <row r="612" spans="3:12" x14ac:dyDescent="0.3">
      <c r="C612" t="str">
        <f>ASSUMPTIONS!C147</f>
        <v>SONIA</v>
      </c>
      <c r="D612" s="104">
        <f>ASSUMPTIONS!D147</f>
        <v>3.7289999999999997E-2</v>
      </c>
    </row>
    <row r="613" spans="3:12" x14ac:dyDescent="0.3">
      <c r="C613" t="str">
        <f>ASSUMPTIONS!C148</f>
        <v>Fixed portion</v>
      </c>
      <c r="D613" s="104">
        <f>ASSUMPTIONS!D148</f>
        <v>1.7000000000000001E-2</v>
      </c>
    </row>
    <row r="614" spans="3:12" x14ac:dyDescent="0.3">
      <c r="D614" s="115">
        <f>SUM(D612:D613)</f>
        <v>5.4289999999999998E-2</v>
      </c>
    </row>
    <row r="616" spans="3:12" x14ac:dyDescent="0.3">
      <c r="C616" s="2" t="str">
        <f>ASSUMPTIONS!C140</f>
        <v>Fixed</v>
      </c>
    </row>
    <row r="617" spans="3:12" x14ac:dyDescent="0.3">
      <c r="C617" t="str">
        <f>ASSUMPTIONS!C141</f>
        <v>2028 Bonds- Fixed-repaid 18/05/2028</v>
      </c>
      <c r="D617" s="104">
        <f>ASSUMPTIONS!D141</f>
        <v>3.6249999999999998E-2</v>
      </c>
    </row>
    <row r="618" spans="3:12" x14ac:dyDescent="0.3">
      <c r="C618" t="str">
        <f>ASSUMPTIONS!C142</f>
        <v>2031 Bonds- Fixed-repaid in 17/07/2031</v>
      </c>
      <c r="D618" s="104">
        <f>ASSUMPTIONS!D142</f>
        <v>0.05</v>
      </c>
    </row>
    <row r="620" spans="3:12" x14ac:dyDescent="0.3">
      <c r="C620" s="2" t="str">
        <f>ASSUMPTIONS!C163</f>
        <v>Actual Day count</v>
      </c>
      <c r="D620" s="2"/>
    </row>
    <row r="621" spans="3:12" x14ac:dyDescent="0.3">
      <c r="C621" t="str">
        <f>ASSUMPTIONS!C164</f>
        <v>Corporate bonds 4.375% repayable October 2026</v>
      </c>
      <c r="D621" t="s">
        <v>1021</v>
      </c>
      <c r="J621" s="82">
        <f>ASSUMPTIONS!J164</f>
        <v>243</v>
      </c>
    </row>
    <row r="622" spans="3:12" x14ac:dyDescent="0.3">
      <c r="C622" t="str">
        <f>ASSUMPTIONS!C165</f>
        <v>Corporate bonds 3.625% repayable May 2028</v>
      </c>
      <c r="D622" t="s">
        <v>1021</v>
      </c>
      <c r="L622" s="82">
        <f>ASSUMPTIONS!L165</f>
        <v>107</v>
      </c>
    </row>
    <row r="623" spans="3:12" x14ac:dyDescent="0.3">
      <c r="C623" t="str">
        <f>ASSUMPTIONS!C166</f>
        <v>Corporate bonds 5.0% repayable July 2031</v>
      </c>
      <c r="D623" t="s">
        <v>1021</v>
      </c>
    </row>
    <row r="624" spans="3:12" x14ac:dyDescent="0.3">
      <c r="C624" s="2"/>
    </row>
    <row r="625" spans="2:15" x14ac:dyDescent="0.3">
      <c r="C625" s="2" t="str">
        <f>ASSUMPTIONS!C169</f>
        <v>Lease Liability</v>
      </c>
      <c r="O625" s="99"/>
    </row>
    <row r="626" spans="2:15" x14ac:dyDescent="0.3">
      <c r="B626" s="133"/>
      <c r="C626" t="str">
        <f>ASSUMPTIONS!C170</f>
        <v>Implied rate for Interest</v>
      </c>
      <c r="J626" s="104">
        <f>ASSUMPTIONS!J170</f>
        <v>5.4810725552050431E-2</v>
      </c>
    </row>
    <row r="627" spans="2:15" x14ac:dyDescent="0.3">
      <c r="C627" s="2" t="str">
        <f>ASSUMPTIONS!C171</f>
        <v>Split between lease Liabilities Total</v>
      </c>
    </row>
    <row r="628" spans="2:15" x14ac:dyDescent="0.3">
      <c r="C628" t="str">
        <f>ASSUMPTIONS!C172</f>
        <v xml:space="preserve">Current </v>
      </c>
      <c r="I628" s="104">
        <f>ASSUMPTIONS!I172</f>
        <v>0.16813362672534504</v>
      </c>
    </row>
    <row r="629" spans="2:15" x14ac:dyDescent="0.3">
      <c r="C629" t="str">
        <f>ASSUMPTIONS!C173</f>
        <v>Non current</v>
      </c>
      <c r="I629" s="104">
        <f>ASSUMPTIONS!I173</f>
        <v>0.83186637327465496</v>
      </c>
    </row>
    <row r="630" spans="2:15" x14ac:dyDescent="0.3">
      <c r="I630" s="82"/>
    </row>
    <row r="632" spans="2:15" x14ac:dyDescent="0.3">
      <c r="C632" s="2" t="str">
        <f>ASSUMPTIONS!C176</f>
        <v>Bank Loan</v>
      </c>
    </row>
    <row r="633" spans="2:15" x14ac:dyDescent="0.3">
      <c r="C633" t="str">
        <f>ASSUMPTIONS!C177</f>
        <v>Annual interest rate above SONIA</v>
      </c>
      <c r="D633" s="104">
        <f>ASSUMPTIONS!D177</f>
        <v>2.5249999999999998E-2</v>
      </c>
    </row>
    <row r="635" spans="2:15" x14ac:dyDescent="0.3">
      <c r="C635" s="2" t="str">
        <f>ASSUMPTIONS!C179</f>
        <v>Bank Overdraft</v>
      </c>
      <c r="D635" s="2"/>
    </row>
    <row r="636" spans="2:15" x14ac:dyDescent="0.3">
      <c r="C636" t="str">
        <f>ASSUMPTIONS!C180</f>
        <v>Current Bank Rate</v>
      </c>
      <c r="D636" s="104">
        <f>ASSUMPTIONS!D180</f>
        <v>3.7499999999999999E-2</v>
      </c>
    </row>
    <row r="637" spans="2:15" x14ac:dyDescent="0.3">
      <c r="C637" t="str">
        <f>ASSUMPTIONS!C181</f>
        <v>Margin assumed to be added</v>
      </c>
      <c r="D637" s="104">
        <f>ASSUMPTIONS!D181</f>
        <v>2.5000000000000001E-3</v>
      </c>
    </row>
    <row r="638" spans="2:15" x14ac:dyDescent="0.3">
      <c r="C638" t="s">
        <v>1243</v>
      </c>
      <c r="D638" s="117">
        <f>SUM(D636:D637)</f>
        <v>0.04</v>
      </c>
    </row>
    <row r="639" spans="2:15" x14ac:dyDescent="0.3">
      <c r="D639" s="103"/>
    </row>
    <row r="640" spans="2:15" x14ac:dyDescent="0.3">
      <c r="C640" s="2" t="str">
        <f>ASSUMPTIONS!C184</f>
        <v>Revolver Interest rate</v>
      </c>
      <c r="D640" s="103"/>
    </row>
    <row r="641" spans="2:16" x14ac:dyDescent="0.3">
      <c r="D641" s="103"/>
    </row>
    <row r="642" spans="2:16" x14ac:dyDescent="0.3">
      <c r="C642" s="2" t="str">
        <f>ASSUMPTIONS!C189</f>
        <v>minimum cash % revenues</v>
      </c>
      <c r="D642" s="103"/>
      <c r="I642" s="104">
        <f>ASSUMPTIONS!I189</f>
        <v>0.01</v>
      </c>
    </row>
    <row r="643" spans="2:16" x14ac:dyDescent="0.3">
      <c r="C643" s="2" t="str">
        <f>ASSUMPTIONS!C190</f>
        <v>Cash and other short term deposits interest rate</v>
      </c>
      <c r="D643" s="103"/>
    </row>
    <row r="644" spans="2:16" x14ac:dyDescent="0.3">
      <c r="C644" t="str">
        <f>ASSUMPTIONS!C191</f>
        <v xml:space="preserve">ST deposits as a % of Total cash and other ST deposits </v>
      </c>
      <c r="D644" s="103"/>
      <c r="J644" s="104">
        <f>ASSUMPTIONS!J191</f>
        <v>0.51663201663201663</v>
      </c>
    </row>
    <row r="645" spans="2:16" x14ac:dyDescent="0.3">
      <c r="D645" s="103"/>
      <c r="J645" s="119"/>
    </row>
    <row r="646" spans="2:16" x14ac:dyDescent="0.3">
      <c r="C646" s="2" t="str">
        <f>ASSUMPTIONS!C193</f>
        <v>Rate on Cash and other short term deposits</v>
      </c>
      <c r="D646" s="103"/>
      <c r="J646" s="119"/>
    </row>
    <row r="647" spans="2:16" x14ac:dyDescent="0.3">
      <c r="C647" t="str">
        <f>ASSUMPTIONS!C194</f>
        <v>Current Bank Rate</v>
      </c>
      <c r="D647" s="104">
        <f>ASSUMPTIONS!D194</f>
        <v>3.7499999999999999E-2</v>
      </c>
      <c r="J647" s="119"/>
    </row>
    <row r="648" spans="2:16" x14ac:dyDescent="0.3">
      <c r="C648" s="2"/>
      <c r="D648" s="103"/>
    </row>
    <row r="649" spans="2:16" x14ac:dyDescent="0.3">
      <c r="C649" s="2" t="str">
        <f>ASSUMPTIONS!C184</f>
        <v>Revolver Interest rate</v>
      </c>
      <c r="D649" s="2"/>
    </row>
    <row r="650" spans="2:16" x14ac:dyDescent="0.3">
      <c r="C650" t="str">
        <f>ASSUMPTIONS!C185</f>
        <v>SONIA</v>
      </c>
      <c r="D650" s="104">
        <f>ASSUMPTIONS!D185</f>
        <v>3.7289999999999997E-2</v>
      </c>
    </row>
    <row r="651" spans="2:16" x14ac:dyDescent="0.3">
      <c r="C651" t="str">
        <f>ASSUMPTIONS!C186</f>
        <v>margin assumed</v>
      </c>
      <c r="D651" s="104">
        <f>ASSUMPTIONS!D186</f>
        <v>0.01</v>
      </c>
    </row>
    <row r="652" spans="2:16" x14ac:dyDescent="0.3">
      <c r="D652" s="144">
        <f>SUM(D650:D651)</f>
        <v>4.7289999999999999E-2</v>
      </c>
    </row>
    <row r="653" spans="2:16" x14ac:dyDescent="0.3">
      <c r="B653" s="48"/>
      <c r="C653" s="48"/>
      <c r="D653" s="48"/>
      <c r="E653" s="48"/>
      <c r="F653" s="48"/>
      <c r="G653" s="48"/>
      <c r="H653" s="48"/>
      <c r="I653" s="46"/>
      <c r="J653" s="141"/>
      <c r="K653" s="141"/>
      <c r="L653" s="141"/>
      <c r="M653" s="141"/>
      <c r="N653" s="141"/>
      <c r="O653" s="48"/>
      <c r="P653" s="48"/>
    </row>
    <row r="655" spans="2:16" ht="23.4" x14ac:dyDescent="0.45">
      <c r="C655" s="63" t="s">
        <v>1255</v>
      </c>
    </row>
    <row r="656" spans="2:16" x14ac:dyDescent="0.3">
      <c r="C656" t="s">
        <v>1182</v>
      </c>
      <c r="J656" s="99">
        <f>J113</f>
        <v>1510.8125636442944</v>
      </c>
      <c r="K656" s="99">
        <f>K113</f>
        <v>1416.7799743616692</v>
      </c>
      <c r="L656" s="99">
        <f>L113</f>
        <v>1507.6948427240129</v>
      </c>
      <c r="M656" s="99">
        <f>M113</f>
        <v>1597.9447587597533</v>
      </c>
      <c r="N656" s="99">
        <f>N113</f>
        <v>1657.3715998492873</v>
      </c>
    </row>
    <row r="657" spans="3:14" x14ac:dyDescent="0.3">
      <c r="C657" t="s">
        <v>1275</v>
      </c>
      <c r="J657" s="99">
        <f>J137</f>
        <v>-296.39249999999993</v>
      </c>
      <c r="K657" s="99">
        <f>K137</f>
        <v>-295.92161099999993</v>
      </c>
      <c r="L657" s="99">
        <f>L137</f>
        <v>-291.99350400921963</v>
      </c>
      <c r="M657" s="99">
        <f>M137</f>
        <v>-290.85491057419188</v>
      </c>
      <c r="N657" s="99">
        <f>N137</f>
        <v>-379.95494529540417</v>
      </c>
    </row>
    <row r="658" spans="3:14" x14ac:dyDescent="0.3">
      <c r="C658" t="s">
        <v>1139</v>
      </c>
      <c r="J658" s="99">
        <f>J141</f>
        <v>-550</v>
      </c>
      <c r="K658" s="99">
        <f>K141</f>
        <v>-400</v>
      </c>
      <c r="L658" s="99">
        <f>L141</f>
        <v>-300</v>
      </c>
      <c r="M658" s="99">
        <f>M141</f>
        <v>-400</v>
      </c>
      <c r="N658" s="99">
        <f>N141</f>
        <v>-400</v>
      </c>
    </row>
    <row r="659" spans="3:14" x14ac:dyDescent="0.3">
      <c r="C659" t="s">
        <v>1256</v>
      </c>
      <c r="J659" s="99">
        <f>J143</f>
        <v>-318</v>
      </c>
      <c r="K659" s="99">
        <f>K143</f>
        <v>-347.47142327345603</v>
      </c>
      <c r="L659" s="99">
        <f>L143</f>
        <v>-379.01762937240801</v>
      </c>
      <c r="M659" s="99">
        <f>M143</f>
        <v>-411.24841618479502</v>
      </c>
      <c r="N659" s="99">
        <f>N143</f>
        <v>-442.88278505539398</v>
      </c>
    </row>
    <row r="660" spans="3:14" x14ac:dyDescent="0.3">
      <c r="C660" t="s">
        <v>762</v>
      </c>
      <c r="J660" s="99">
        <f>J146+J147</f>
        <v>-64</v>
      </c>
      <c r="K660" s="99">
        <f>K146+K147</f>
        <v>-64</v>
      </c>
      <c r="L660" s="99">
        <f>L146+L147</f>
        <v>-64</v>
      </c>
      <c r="M660" s="99">
        <f>M146+M147</f>
        <v>-64</v>
      </c>
      <c r="N660" s="99">
        <f>N146+N147</f>
        <v>-64</v>
      </c>
    </row>
    <row r="661" spans="3:14" x14ac:dyDescent="0.3">
      <c r="C661" t="s">
        <v>1276</v>
      </c>
      <c r="J661" s="99">
        <f>J156+J157+J158</f>
        <v>-169</v>
      </c>
      <c r="K661" s="99">
        <f>K156+K157+K158</f>
        <v>-169</v>
      </c>
      <c r="L661" s="99">
        <f>L156+L157+L158</f>
        <v>-169</v>
      </c>
      <c r="M661" s="99">
        <f>M156+M157+M158</f>
        <v>-169</v>
      </c>
      <c r="N661" s="99">
        <f>N156+N157+N158</f>
        <v>-169</v>
      </c>
    </row>
    <row r="662" spans="3:14" x14ac:dyDescent="0.3">
      <c r="C662" t="s">
        <v>1277</v>
      </c>
      <c r="J662" s="99">
        <f>J159</f>
        <v>19.459936210205811</v>
      </c>
      <c r="K662" s="99">
        <f>K159</f>
        <v>20.939619811427441</v>
      </c>
      <c r="L662" s="99">
        <f>L159</f>
        <v>28.678782258355781</v>
      </c>
      <c r="M662" s="99">
        <f>M159</f>
        <v>29.824308766906544</v>
      </c>
      <c r="N662" s="99">
        <f>N159</f>
        <v>28.241797459854705</v>
      </c>
    </row>
    <row r="663" spans="3:14" x14ac:dyDescent="0.3">
      <c r="C663" t="s">
        <v>1274</v>
      </c>
      <c r="J663" s="99">
        <f>J162+J163+J164</f>
        <v>-2</v>
      </c>
      <c r="K663" s="99">
        <f>K162+K163+K164</f>
        <v>-2</v>
      </c>
      <c r="L663" s="99">
        <f>L162+L163+L164</f>
        <v>-2</v>
      </c>
      <c r="M663" s="99">
        <f>M162+M163+M164</f>
        <v>-2</v>
      </c>
      <c r="N663" s="99">
        <f>N162+N163+N164</f>
        <v>-2</v>
      </c>
    </row>
    <row r="664" spans="3:14" x14ac:dyDescent="0.3">
      <c r="C664" s="2" t="s">
        <v>1257</v>
      </c>
      <c r="J664" s="126">
        <f>SUM(J656:J663)</f>
        <v>130.87999985450028</v>
      </c>
      <c r="K664" s="126">
        <f>SUM(K656:K663)</f>
        <v>159.32655989964067</v>
      </c>
      <c r="L664" s="126">
        <f>SUM(L656:L663)</f>
        <v>330.36249160074112</v>
      </c>
      <c r="M664" s="126">
        <f>SUM(M656:M663)</f>
        <v>290.66574076767307</v>
      </c>
      <c r="N664" s="126">
        <f>SUM(N656:N663)</f>
        <v>227.775666958344</v>
      </c>
    </row>
    <row r="665" spans="3:14" x14ac:dyDescent="0.3">
      <c r="J665" s="99"/>
      <c r="K665" s="99"/>
      <c r="L665" s="99"/>
      <c r="M665" s="99"/>
      <c r="N665" s="99"/>
    </row>
    <row r="666" spans="3:14" x14ac:dyDescent="0.3">
      <c r="C666" t="s">
        <v>1258</v>
      </c>
      <c r="J666" s="99">
        <f>J167</f>
        <v>60.200000000000287</v>
      </c>
      <c r="K666" s="99">
        <f>K167</f>
        <v>72.757039999999975</v>
      </c>
      <c r="L666" s="99">
        <f>L167</f>
        <v>177.50655975414099</v>
      </c>
      <c r="M666" s="99">
        <f>M167</f>
        <v>207.86905135488212</v>
      </c>
      <c r="N666" s="99">
        <f>N167</f>
        <v>498.53479212255513</v>
      </c>
    </row>
    <row r="667" spans="3:14" x14ac:dyDescent="0.3">
      <c r="C667" t="s">
        <v>1259</v>
      </c>
      <c r="J667" s="126">
        <f>SUM(J664:J666)</f>
        <v>191.07999985450056</v>
      </c>
      <c r="K667" s="126">
        <f>SUM(K664:K666)</f>
        <v>232.08359989964066</v>
      </c>
      <c r="L667" s="126">
        <f>SUM(L664:L666)</f>
        <v>507.86905135488212</v>
      </c>
      <c r="M667" s="126">
        <f>SUM(M664:M666)</f>
        <v>498.53479212255519</v>
      </c>
      <c r="N667" s="126">
        <f>SUM(N664:N666)</f>
        <v>726.31045908089914</v>
      </c>
    </row>
    <row r="668" spans="3:14" x14ac:dyDescent="0.3">
      <c r="J668" s="99"/>
      <c r="K668" s="99"/>
      <c r="L668" s="99"/>
      <c r="M668" s="99"/>
      <c r="N668" s="99"/>
    </row>
    <row r="669" spans="3:14" x14ac:dyDescent="0.3">
      <c r="C669" t="s">
        <v>1260</v>
      </c>
      <c r="J669" s="99">
        <f>-I598</f>
        <v>-112.9</v>
      </c>
      <c r="K669" s="99">
        <f>-J598</f>
        <v>0</v>
      </c>
      <c r="L669" s="99">
        <f>-K598</f>
        <v>-300</v>
      </c>
      <c r="M669" s="99">
        <f>-L598</f>
        <v>0</v>
      </c>
      <c r="N669" s="99">
        <f>-M598</f>
        <v>0</v>
      </c>
    </row>
    <row r="670" spans="3:14" x14ac:dyDescent="0.3">
      <c r="C670" s="2" t="s">
        <v>1261</v>
      </c>
      <c r="J670" s="126">
        <f>SUM(J667:J669)</f>
        <v>78.179999854500551</v>
      </c>
      <c r="K670" s="126">
        <f>SUM(K667:K669)</f>
        <v>232.08359989964066</v>
      </c>
      <c r="L670" s="126">
        <f>SUM(L667:L669)</f>
        <v>207.86905135488212</v>
      </c>
      <c r="M670" s="126">
        <f>SUM(M667:M669)</f>
        <v>498.53479212255519</v>
      </c>
      <c r="N670" s="126">
        <f>SUM(N667:N669)</f>
        <v>726.31045908089914</v>
      </c>
    </row>
    <row r="671" spans="3:14" x14ac:dyDescent="0.3">
      <c r="J671" s="99"/>
      <c r="K671" s="99"/>
      <c r="L671" s="99"/>
      <c r="M671" s="99"/>
      <c r="N671" s="99"/>
    </row>
    <row r="672" spans="3:14" x14ac:dyDescent="0.3">
      <c r="C672" t="s">
        <v>1262</v>
      </c>
      <c r="J672" s="99">
        <f>-$I$642*J17</f>
        <v>-72.757040000000003</v>
      </c>
      <c r="K672" s="99">
        <f>-$I$642*K17</f>
        <v>-79.522216400000005</v>
      </c>
      <c r="L672" s="99">
        <f>-$I$642*L17</f>
        <v>-88.247422267100006</v>
      </c>
      <c r="M672" s="99">
        <f>-$I$642*M17</f>
        <v>-96.227976652272005</v>
      </c>
      <c r="N672" s="99">
        <f>-$I$642*N17</f>
        <v>-104.18632566040321</v>
      </c>
    </row>
    <row r="673" spans="3:14" x14ac:dyDescent="0.3">
      <c r="C673" s="2" t="s">
        <v>1263</v>
      </c>
      <c r="J673" s="126">
        <f>SUM(J670:J672)</f>
        <v>5.4229598545005473</v>
      </c>
      <c r="K673" s="126">
        <f>SUM(K670:K672)</f>
        <v>152.56138349964067</v>
      </c>
      <c r="L673" s="126">
        <f>SUM(L670:L672)</f>
        <v>119.62162908778211</v>
      </c>
      <c r="M673" s="126">
        <f>SUM(M670:M672)</f>
        <v>402.3068154702832</v>
      </c>
      <c r="N673" s="126">
        <f>SUM(N670:N672)</f>
        <v>622.12413342049592</v>
      </c>
    </row>
    <row r="674" spans="3:14" x14ac:dyDescent="0.3">
      <c r="J674" s="99"/>
      <c r="K674" s="99"/>
      <c r="L674" s="99"/>
      <c r="M674" s="99"/>
      <c r="N674" s="99"/>
    </row>
    <row r="675" spans="3:14" x14ac:dyDescent="0.3">
      <c r="C675" t="s">
        <v>1267</v>
      </c>
      <c r="J675" s="99">
        <f>I677</f>
        <v>60</v>
      </c>
      <c r="K675" s="99">
        <f>J677</f>
        <v>54.577040145499453</v>
      </c>
      <c r="L675" s="99">
        <f>K677</f>
        <v>0</v>
      </c>
      <c r="M675" s="99">
        <f>L677</f>
        <v>0</v>
      </c>
      <c r="N675" s="99">
        <f>M677</f>
        <v>0</v>
      </c>
    </row>
    <row r="676" spans="3:14" x14ac:dyDescent="0.3">
      <c r="C676" t="s">
        <v>1270</v>
      </c>
      <c r="J676" s="99">
        <f>MIN(J673,J675)*-1</f>
        <v>-5.4229598545005473</v>
      </c>
      <c r="K676" s="99">
        <f>MIN(K673,K675)*-1</f>
        <v>-54.577040145499453</v>
      </c>
      <c r="L676" s="99">
        <f>MIN(L673,L675)*-1</f>
        <v>0</v>
      </c>
      <c r="M676" s="99">
        <f>MIN(M673,M675)*-1</f>
        <v>0</v>
      </c>
      <c r="N676" s="99">
        <f>MIN(N673,N675)*-1</f>
        <v>0</v>
      </c>
    </row>
    <row r="677" spans="3:14" x14ac:dyDescent="0.3">
      <c r="C677" t="s">
        <v>1268</v>
      </c>
      <c r="I677" s="47">
        <f>I580</f>
        <v>60</v>
      </c>
      <c r="J677" s="111">
        <f>J675+J676</f>
        <v>54.577040145499453</v>
      </c>
      <c r="K677" s="111">
        <f>K675+K676</f>
        <v>0</v>
      </c>
      <c r="L677" s="111">
        <f>L675+L676</f>
        <v>0</v>
      </c>
      <c r="M677" s="111">
        <f>M675+M676</f>
        <v>0</v>
      </c>
      <c r="N677" s="111">
        <f>N675+N676</f>
        <v>0</v>
      </c>
    </row>
    <row r="678" spans="3:14" x14ac:dyDescent="0.3">
      <c r="I678" s="2"/>
      <c r="J678" s="126"/>
      <c r="K678" s="126"/>
      <c r="L678" s="126"/>
      <c r="M678" s="126"/>
      <c r="N678" s="126"/>
    </row>
    <row r="679" spans="3:14" x14ac:dyDescent="0.3">
      <c r="C679" t="s">
        <v>1252</v>
      </c>
      <c r="D679" s="90">
        <f>D652</f>
        <v>4.7289999999999999E-2</v>
      </c>
      <c r="J679" s="99"/>
      <c r="K679" s="99"/>
      <c r="L679" s="99"/>
      <c r="M679" s="99"/>
      <c r="N679" s="99"/>
    </row>
    <row r="680" spans="3:14" x14ac:dyDescent="0.3">
      <c r="C680" s="2" t="s">
        <v>1264</v>
      </c>
      <c r="J680" s="126">
        <f>IF(circularity=1,AVERAGE(I677:J677)*$D$679,J675*$D$679)</f>
        <v>2.8373999999999997</v>
      </c>
      <c r="K680" s="126">
        <f>IF(circularity=1,AVERAGE(J677:K677)*$D$679,K675*$D$679)</f>
        <v>2.5809482284806688</v>
      </c>
      <c r="L680" s="126">
        <f>IF(circularity=1,AVERAGE(K677:L677)*$D$679,L675*$D$679)</f>
        <v>0</v>
      </c>
      <c r="M680" s="126">
        <f>IF(circularity=1,AVERAGE(L677:M677)*$D$679,M675*$D$679)</f>
        <v>0</v>
      </c>
      <c r="N680" s="126">
        <f>IF(circularity=1,AVERAGE(M677:N677)*$D$679,N675*$D$679)</f>
        <v>0</v>
      </c>
    </row>
    <row r="681" spans="3:14" x14ac:dyDescent="0.3">
      <c r="C681" s="2"/>
      <c r="J681" s="2"/>
      <c r="K681" s="2"/>
      <c r="L681" s="2"/>
      <c r="M681" s="2"/>
      <c r="N681" s="2"/>
    </row>
    <row r="682" spans="3:14" x14ac:dyDescent="0.3">
      <c r="C682" s="2"/>
      <c r="J682" s="2"/>
      <c r="K682" s="2"/>
      <c r="L682" s="2"/>
      <c r="M682" s="2"/>
      <c r="N682" s="2"/>
    </row>
    <row r="683" spans="3:14" x14ac:dyDescent="0.3"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3:14" x14ac:dyDescent="0.3">
      <c r="C684" t="s">
        <v>1269</v>
      </c>
      <c r="E684" s="2"/>
      <c r="F684" s="2"/>
      <c r="G684" s="2"/>
      <c r="H684" s="2"/>
      <c r="I684" s="2"/>
      <c r="J684">
        <f>I686</f>
        <v>36</v>
      </c>
      <c r="K684">
        <f>J686</f>
        <v>36</v>
      </c>
      <c r="L684">
        <f>K686</f>
        <v>36</v>
      </c>
      <c r="M684">
        <f>L686</f>
        <v>36</v>
      </c>
      <c r="N684">
        <f>M686</f>
        <v>36</v>
      </c>
    </row>
    <row r="685" spans="3:14" x14ac:dyDescent="0.3">
      <c r="C685" t="s">
        <v>1270</v>
      </c>
      <c r="E685" s="2"/>
      <c r="F685" s="2"/>
      <c r="G685" s="2"/>
      <c r="H685" s="2"/>
      <c r="I685" s="2"/>
      <c r="J685">
        <v>0</v>
      </c>
      <c r="K685">
        <f>J685</f>
        <v>0</v>
      </c>
      <c r="L685">
        <f>K685</f>
        <v>0</v>
      </c>
      <c r="M685">
        <f>L685</f>
        <v>0</v>
      </c>
      <c r="N685">
        <f>M685</f>
        <v>0</v>
      </c>
    </row>
    <row r="686" spans="3:14" x14ac:dyDescent="0.3">
      <c r="C686" t="s">
        <v>1271</v>
      </c>
      <c r="E686" s="2"/>
      <c r="F686" s="2"/>
      <c r="G686" s="2"/>
      <c r="H686" s="2"/>
      <c r="I686" s="47">
        <f>I579</f>
        <v>36</v>
      </c>
      <c r="J686" s="47">
        <f>J684-J685</f>
        <v>36</v>
      </c>
      <c r="K686" s="47">
        <f>K684-K685</f>
        <v>36</v>
      </c>
      <c r="L686" s="47">
        <f>L684-L685</f>
        <v>36</v>
      </c>
      <c r="M686" s="47">
        <f>M684-M685</f>
        <v>36</v>
      </c>
      <c r="N686" s="47">
        <f>N684-N685</f>
        <v>36</v>
      </c>
    </row>
    <row r="687" spans="3:14" x14ac:dyDescent="0.3">
      <c r="C687" t="str">
        <f>C638</f>
        <v>Total Bank Overdraft Interest rate</v>
      </c>
      <c r="D687" s="60">
        <f>D638</f>
        <v>0.04</v>
      </c>
    </row>
    <row r="688" spans="3:14" x14ac:dyDescent="0.3">
      <c r="C688" s="2" t="s">
        <v>1242</v>
      </c>
      <c r="D688" s="60"/>
      <c r="J688" s="2">
        <f>IF(circularity=1,AVERAGE(I686:J686)*$D$687,J684*$D$687)</f>
        <v>1.44</v>
      </c>
      <c r="K688" s="2">
        <f>IF(circularity=1,AVERAGE(J686:K686)*$D$687,K684*$D$687)</f>
        <v>1.44</v>
      </c>
      <c r="L688" s="2">
        <f>IF(circularity=1,AVERAGE(K686:L686)*$D$687,L684*$D$687)</f>
        <v>1.44</v>
      </c>
      <c r="M688" s="2">
        <f>IF(circularity=1,AVERAGE(L686:M686)*$D$687,M684*$D$687)</f>
        <v>1.44</v>
      </c>
      <c r="N688" s="2">
        <f>IF(circularity=1,AVERAGE(M686:N686)*$D$687,N684*$D$687)</f>
        <v>1.44</v>
      </c>
    </row>
    <row r="690" spans="1:16" x14ac:dyDescent="0.3"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</row>
    <row r="691" spans="1:16" ht="23.4" x14ac:dyDescent="0.45">
      <c r="C691" s="63" t="s">
        <v>1185</v>
      </c>
    </row>
    <row r="692" spans="1:16" x14ac:dyDescent="0.3">
      <c r="A692" t="s">
        <v>986</v>
      </c>
      <c r="C692" t="str">
        <f>C209</f>
        <v>Corporate bonds</v>
      </c>
      <c r="H692">
        <f>H209</f>
        <v>250</v>
      </c>
      <c r="I692">
        <f>I209</f>
        <v>112.9</v>
      </c>
      <c r="J692">
        <f>J598</f>
        <v>0</v>
      </c>
      <c r="K692">
        <f>K598</f>
        <v>300</v>
      </c>
      <c r="L692">
        <f>L598</f>
        <v>0</v>
      </c>
      <c r="M692">
        <f>M598</f>
        <v>0</v>
      </c>
      <c r="N692">
        <f>N598</f>
        <v>300</v>
      </c>
    </row>
    <row r="693" spans="1:16" x14ac:dyDescent="0.3">
      <c r="A693" t="s">
        <v>1186</v>
      </c>
      <c r="C693" t="str">
        <f>C219</f>
        <v>Corporate bonds</v>
      </c>
      <c r="E693">
        <f>E219</f>
        <v>815.7</v>
      </c>
      <c r="F693">
        <f>F219</f>
        <v>790.7</v>
      </c>
      <c r="G693">
        <f>G219</f>
        <v>790.8</v>
      </c>
      <c r="H693">
        <f>H219</f>
        <v>543.79999999999995</v>
      </c>
      <c r="I693">
        <f>I219</f>
        <v>600</v>
      </c>
      <c r="J693">
        <f>I693-J692</f>
        <v>600</v>
      </c>
      <c r="K693">
        <f t="shared" ref="K693:N693" si="292">J693-K692</f>
        <v>300</v>
      </c>
      <c r="L693">
        <f t="shared" si="292"/>
        <v>300</v>
      </c>
      <c r="M693">
        <f t="shared" si="292"/>
        <v>300</v>
      </c>
      <c r="N693">
        <f t="shared" si="292"/>
        <v>0</v>
      </c>
    </row>
    <row r="694" spans="1:16" x14ac:dyDescent="0.3">
      <c r="E694" s="47">
        <f>SUM(E692:E693)</f>
        <v>815.7</v>
      </c>
      <c r="F694" s="47">
        <f t="shared" ref="F694:I694" si="293">SUM(F692:F693)</f>
        <v>790.7</v>
      </c>
      <c r="G694" s="47">
        <f t="shared" si="293"/>
        <v>790.8</v>
      </c>
      <c r="H694" s="47">
        <f t="shared" si="293"/>
        <v>793.8</v>
      </c>
      <c r="I694" s="47">
        <f t="shared" si="293"/>
        <v>712.9</v>
      </c>
      <c r="J694" s="47">
        <f>J706+J714+J720</f>
        <v>600</v>
      </c>
      <c r="K694" s="47">
        <f>K706+K714+K720</f>
        <v>600</v>
      </c>
      <c r="L694" s="47">
        <f>L706+L714+L720</f>
        <v>300</v>
      </c>
      <c r="M694" s="47">
        <f>M706+M714+M720</f>
        <v>300</v>
      </c>
      <c r="N694" s="47">
        <f>N706+N714+N720</f>
        <v>300</v>
      </c>
    </row>
    <row r="695" spans="1:16" x14ac:dyDescent="0.3"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6" x14ac:dyDescent="0.3"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6" x14ac:dyDescent="0.3">
      <c r="C697" s="2" t="str">
        <f>ASSUMPTIONS!C156</f>
        <v>Repayment of corporate bonds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6" x14ac:dyDescent="0.3">
      <c r="C698" t="str">
        <f>ASSUMPTIONS!C157</f>
        <v>Corporate bonds 4.375% repayable October 2026</v>
      </c>
      <c r="E698" s="2"/>
      <c r="F698" s="2"/>
      <c r="G698" s="2"/>
      <c r="H698" s="2"/>
      <c r="I698" s="2"/>
      <c r="J698">
        <f>ASSUMPTIONS!J157</f>
        <v>-112.9</v>
      </c>
      <c r="K698">
        <f>ASSUMPTIONS!K157</f>
        <v>0</v>
      </c>
      <c r="L698">
        <f>ASSUMPTIONS!L157</f>
        <v>0</v>
      </c>
      <c r="M698">
        <f>ASSUMPTIONS!M157</f>
        <v>0</v>
      </c>
      <c r="N698">
        <f>ASSUMPTIONS!N157</f>
        <v>0</v>
      </c>
    </row>
    <row r="699" spans="1:16" x14ac:dyDescent="0.3">
      <c r="C699" t="str">
        <f>ASSUMPTIONS!C158</f>
        <v>Corporate bonds 3.625% repayable May 2028</v>
      </c>
      <c r="E699" s="2"/>
      <c r="F699" s="2"/>
      <c r="G699" s="2"/>
      <c r="H699" s="2"/>
      <c r="I699" s="2"/>
      <c r="J699">
        <f>ASSUMPTIONS!J158</f>
        <v>0</v>
      </c>
      <c r="K699">
        <f>ASSUMPTIONS!K158</f>
        <v>0</v>
      </c>
      <c r="L699">
        <f>ASSUMPTIONS!L158</f>
        <v>-300</v>
      </c>
      <c r="M699">
        <f>ASSUMPTIONS!M158</f>
        <v>0</v>
      </c>
      <c r="N699">
        <f>ASSUMPTIONS!N158</f>
        <v>0</v>
      </c>
    </row>
    <row r="700" spans="1:16" x14ac:dyDescent="0.3">
      <c r="C700" t="str">
        <f>ASSUMPTIONS!C159</f>
        <v>Corporate bonds 5.0% repayable July 2031</v>
      </c>
      <c r="E700" s="2"/>
      <c r="F700" s="2"/>
      <c r="G700" s="2"/>
      <c r="H700" s="2"/>
      <c r="I700" s="2"/>
      <c r="J700">
        <f>ASSUMPTIONS!J159</f>
        <v>0</v>
      </c>
      <c r="K700">
        <f>ASSUMPTIONS!K159</f>
        <v>0</v>
      </c>
      <c r="L700">
        <f>ASSUMPTIONS!L159</f>
        <v>0</v>
      </c>
      <c r="M700">
        <f>ASSUMPTIONS!M159</f>
        <v>0</v>
      </c>
      <c r="N700">
        <f>ASSUMPTIONS!N159</f>
        <v>0</v>
      </c>
    </row>
    <row r="701" spans="1:16" x14ac:dyDescent="0.3">
      <c r="C701" t="s">
        <v>113</v>
      </c>
      <c r="E701" s="2"/>
      <c r="F701" s="2"/>
      <c r="G701" s="2"/>
      <c r="H701" s="2"/>
      <c r="I701" s="2"/>
      <c r="J701" s="2">
        <f>SUM(J698:J700)</f>
        <v>-112.9</v>
      </c>
      <c r="K701" s="2">
        <f t="shared" ref="K701:N701" si="294">SUM(K698:K700)</f>
        <v>0</v>
      </c>
      <c r="L701" s="2">
        <f t="shared" si="294"/>
        <v>-300</v>
      </c>
      <c r="M701" s="2">
        <f t="shared" si="294"/>
        <v>0</v>
      </c>
      <c r="N701" s="2">
        <f t="shared" si="294"/>
        <v>0</v>
      </c>
    </row>
    <row r="703" spans="1:16" x14ac:dyDescent="0.3">
      <c r="C703" s="2" t="str">
        <f>C607</f>
        <v>Corporate bonds 4.375% repayable October 2026</v>
      </c>
    </row>
    <row r="704" spans="1:16" x14ac:dyDescent="0.3">
      <c r="C704" t="s">
        <v>1110</v>
      </c>
      <c r="J704">
        <f>I706</f>
        <v>112.9</v>
      </c>
      <c r="K704">
        <f t="shared" ref="K704:N704" si="295">J706</f>
        <v>0</v>
      </c>
      <c r="L704">
        <f t="shared" si="295"/>
        <v>0</v>
      </c>
      <c r="M704">
        <f t="shared" si="295"/>
        <v>0</v>
      </c>
      <c r="N704">
        <f t="shared" si="295"/>
        <v>0</v>
      </c>
    </row>
    <row r="705" spans="3:14" x14ac:dyDescent="0.3">
      <c r="C705" t="s">
        <v>1266</v>
      </c>
      <c r="J705">
        <f>MIN(J704,-J698)*-1</f>
        <v>-112.9</v>
      </c>
      <c r="K705">
        <f t="shared" ref="K705:N705" si="296">MIN(K704,-K698)*-1</f>
        <v>0</v>
      </c>
      <c r="L705">
        <f t="shared" si="296"/>
        <v>0</v>
      </c>
      <c r="M705">
        <f t="shared" si="296"/>
        <v>0</v>
      </c>
      <c r="N705">
        <f t="shared" si="296"/>
        <v>0</v>
      </c>
    </row>
    <row r="706" spans="3:14" x14ac:dyDescent="0.3">
      <c r="C706" t="s">
        <v>355</v>
      </c>
      <c r="I706" s="47">
        <f>I607</f>
        <v>112.9</v>
      </c>
      <c r="J706" s="47">
        <f>SUM(J704:J705)</f>
        <v>0</v>
      </c>
      <c r="K706" s="47">
        <f t="shared" ref="K706:N706" si="297">SUM(K704:K705)</f>
        <v>0</v>
      </c>
      <c r="L706" s="47">
        <f t="shared" si="297"/>
        <v>0</v>
      </c>
      <c r="M706" s="47">
        <f t="shared" si="297"/>
        <v>0</v>
      </c>
      <c r="N706" s="47">
        <f t="shared" si="297"/>
        <v>0</v>
      </c>
    </row>
    <row r="707" spans="3:14" x14ac:dyDescent="0.3">
      <c r="C707" t="s">
        <v>1212</v>
      </c>
      <c r="D707" s="90">
        <f>D614</f>
        <v>5.4289999999999998E-2</v>
      </c>
      <c r="J707" s="126">
        <f>-J705*$D$707*(J621/J597)</f>
        <v>4.0806297616438361</v>
      </c>
    </row>
    <row r="710" spans="3:14" x14ac:dyDescent="0.3">
      <c r="J710" s="99"/>
      <c r="K710" s="99"/>
      <c r="L710" s="99"/>
      <c r="M710" s="99"/>
      <c r="N710" s="99"/>
    </row>
    <row r="711" spans="3:14" x14ac:dyDescent="0.3">
      <c r="C711" s="2" t="str">
        <f>C608</f>
        <v>Corporate bonds 3.625% repayable May 2028</v>
      </c>
    </row>
    <row r="712" spans="3:14" x14ac:dyDescent="0.3">
      <c r="C712" t="s">
        <v>1110</v>
      </c>
      <c r="J712">
        <f>I714</f>
        <v>300</v>
      </c>
      <c r="K712">
        <f>J714</f>
        <v>300</v>
      </c>
      <c r="L712">
        <f>K714</f>
        <v>300</v>
      </c>
    </row>
    <row r="713" spans="3:14" x14ac:dyDescent="0.3">
      <c r="C713" t="s">
        <v>1181</v>
      </c>
      <c r="J713">
        <f>MIN(J712,-J699)*-1</f>
        <v>0</v>
      </c>
      <c r="K713">
        <f>MIN(K712,-K699)*-1</f>
        <v>0</v>
      </c>
      <c r="L713">
        <f>MIN(L712,-L699)*-1</f>
        <v>-300</v>
      </c>
      <c r="M713">
        <f>MIN(M712,-M699)*-1</f>
        <v>0</v>
      </c>
      <c r="N713">
        <f>MIN(N712,-N699)*-1</f>
        <v>0</v>
      </c>
    </row>
    <row r="714" spans="3:14" x14ac:dyDescent="0.3">
      <c r="C714" t="s">
        <v>355</v>
      </c>
      <c r="I714" s="47">
        <f>I608</f>
        <v>300</v>
      </c>
      <c r="J714" s="47">
        <f>SUM(J712:J713)</f>
        <v>300</v>
      </c>
      <c r="K714" s="47">
        <f>SUM(K712:K713)</f>
        <v>300</v>
      </c>
      <c r="L714" s="47">
        <f>SUM(L712:L713)</f>
        <v>0</v>
      </c>
      <c r="M714" s="47">
        <f t="shared" ref="M714:N714" si="298">SUM(M712:M713)</f>
        <v>0</v>
      </c>
      <c r="N714" s="47">
        <f t="shared" si="298"/>
        <v>0</v>
      </c>
    </row>
    <row r="715" spans="3:14" x14ac:dyDescent="0.3">
      <c r="C715" t="s">
        <v>1213</v>
      </c>
      <c r="D715" s="90">
        <f>D617</f>
        <v>3.6249999999999998E-2</v>
      </c>
      <c r="I715" s="2"/>
      <c r="J715" s="2">
        <f>IF(circularity=1,AVERAGE(I714:J714)*$D$715,J712*$D$715)</f>
        <v>10.875</v>
      </c>
      <c r="K715" s="2">
        <f>IF(circularity=1,AVERAGE(J714:K714)*$D$715,K712*$D$715)</f>
        <v>10.875</v>
      </c>
      <c r="L715" s="126">
        <f>-L713*$D$715*(L622/L597)</f>
        <v>3.1880136986301371</v>
      </c>
    </row>
    <row r="717" spans="3:14" x14ac:dyDescent="0.3">
      <c r="C717" s="2" t="str">
        <f>C609</f>
        <v>Corporate bonds 5.0% repayable July 2031</v>
      </c>
    </row>
    <row r="718" spans="3:14" x14ac:dyDescent="0.3">
      <c r="C718" t="s">
        <v>1110</v>
      </c>
      <c r="J718">
        <f>I720</f>
        <v>300</v>
      </c>
      <c r="K718">
        <f>J720</f>
        <v>300</v>
      </c>
      <c r="L718">
        <f t="shared" ref="L718:N718" si="299">K720</f>
        <v>300</v>
      </c>
      <c r="M718">
        <f t="shared" si="299"/>
        <v>300</v>
      </c>
      <c r="N718">
        <f t="shared" si="299"/>
        <v>300</v>
      </c>
    </row>
    <row r="719" spans="3:14" x14ac:dyDescent="0.3">
      <c r="C719" t="s">
        <v>1181</v>
      </c>
      <c r="J719">
        <f>MIN(J718,-J700)*-1</f>
        <v>0</v>
      </c>
      <c r="K719">
        <f>MIN(K718,-K700)*-1</f>
        <v>0</v>
      </c>
      <c r="L719">
        <f>MIN(L718,-L700)*-1</f>
        <v>0</v>
      </c>
      <c r="M719">
        <f>MIN(M718,-M700)*-1</f>
        <v>0</v>
      </c>
      <c r="N719">
        <f>MIN(N718,-N700)*-1</f>
        <v>0</v>
      </c>
    </row>
    <row r="720" spans="3:14" x14ac:dyDescent="0.3">
      <c r="C720" t="s">
        <v>355</v>
      </c>
      <c r="I720" s="47">
        <f>I609</f>
        <v>300</v>
      </c>
      <c r="J720" s="47">
        <f>SUM(J718:J719)</f>
        <v>300</v>
      </c>
      <c r="K720" s="47">
        <f t="shared" ref="K720:N720" si="300">SUM(K718:K719)</f>
        <v>300</v>
      </c>
      <c r="L720" s="47">
        <f t="shared" si="300"/>
        <v>300</v>
      </c>
      <c r="M720" s="47">
        <f t="shared" si="300"/>
        <v>300</v>
      </c>
      <c r="N720" s="47">
        <f t="shared" si="300"/>
        <v>300</v>
      </c>
    </row>
    <row r="721" spans="3:14" x14ac:dyDescent="0.3">
      <c r="C721" t="s">
        <v>1214</v>
      </c>
      <c r="D721" s="90">
        <f>D618</f>
        <v>0.05</v>
      </c>
      <c r="J721" s="2">
        <f>IF(circularity=1,AVERAGE(I720:J720)*$D$721,J718*$D$721)</f>
        <v>15</v>
      </c>
      <c r="K721" s="2">
        <f>IF(circularity=1,AVERAGE(J720:K720)*$D$721,K718*$D$721)</f>
        <v>15</v>
      </c>
      <c r="L721" s="2">
        <f>IF(circularity=1,AVERAGE(K720:L720)*$D$721,L718*$D$721)</f>
        <v>15</v>
      </c>
      <c r="M721" s="2">
        <f>IF(circularity=1,AVERAGE(L720:M720)*$D$721,M718*$D$721)</f>
        <v>15</v>
      </c>
      <c r="N721" s="2">
        <f>IF(circularity=1,AVERAGE(M720:N720)*$D$721,N718*$D$721)</f>
        <v>15</v>
      </c>
    </row>
    <row r="722" spans="3:14" x14ac:dyDescent="0.3">
      <c r="C722" s="2"/>
      <c r="D722" s="60"/>
    </row>
    <row r="723" spans="3:14" x14ac:dyDescent="0.3">
      <c r="C723" s="2" t="s">
        <v>156</v>
      </c>
    </row>
    <row r="724" spans="3:14" x14ac:dyDescent="0.3">
      <c r="C724" t="s">
        <v>1010</v>
      </c>
      <c r="I724">
        <f>I607</f>
        <v>112.9</v>
      </c>
      <c r="J724">
        <f>$I$608</f>
        <v>300</v>
      </c>
      <c r="K724">
        <f>$I$608</f>
        <v>300</v>
      </c>
      <c r="L724">
        <f>$I$609</f>
        <v>300</v>
      </c>
      <c r="M724">
        <f>$I$609</f>
        <v>300</v>
      </c>
      <c r="N724">
        <f>$I$609</f>
        <v>300</v>
      </c>
    </row>
    <row r="726" spans="3:14" x14ac:dyDescent="0.3">
      <c r="C726" t="s">
        <v>1212</v>
      </c>
      <c r="D726" s="90">
        <f>D614</f>
        <v>5.4289999999999998E-2</v>
      </c>
      <c r="J726" s="99">
        <f>J707</f>
        <v>4.0806297616438361</v>
      </c>
      <c r="K726" s="99"/>
      <c r="L726" s="99"/>
      <c r="M726" s="99"/>
      <c r="N726" s="99"/>
    </row>
    <row r="727" spans="3:14" x14ac:dyDescent="0.3">
      <c r="C727" t="s">
        <v>1213</v>
      </c>
      <c r="D727" s="90">
        <f>D617</f>
        <v>3.6249999999999998E-2</v>
      </c>
      <c r="J727" s="99">
        <f>J715</f>
        <v>10.875</v>
      </c>
      <c r="K727" s="99">
        <f t="shared" ref="K727:L727" si="301">K715</f>
        <v>10.875</v>
      </c>
      <c r="L727" s="99">
        <f t="shared" si="301"/>
        <v>3.1880136986301371</v>
      </c>
      <c r="M727" s="99"/>
      <c r="N727" s="99"/>
    </row>
    <row r="728" spans="3:14" x14ac:dyDescent="0.3">
      <c r="C728" t="s">
        <v>1214</v>
      </c>
      <c r="D728" s="90">
        <f>D618</f>
        <v>0.05</v>
      </c>
      <c r="J728" s="99">
        <f>J721</f>
        <v>15</v>
      </c>
      <c r="K728" s="99">
        <f t="shared" ref="K728:N728" si="302">K721</f>
        <v>15</v>
      </c>
      <c r="L728" s="99">
        <f t="shared" si="302"/>
        <v>15</v>
      </c>
      <c r="M728" s="99">
        <f t="shared" si="302"/>
        <v>15</v>
      </c>
      <c r="N728" s="99">
        <f t="shared" si="302"/>
        <v>15</v>
      </c>
    </row>
    <row r="729" spans="3:14" x14ac:dyDescent="0.3">
      <c r="C729" s="2" t="s">
        <v>1223</v>
      </c>
      <c r="J729" s="111">
        <f>J726+J727+J728</f>
        <v>29.955629761643834</v>
      </c>
      <c r="K729" s="111">
        <f>K726+K727+K728</f>
        <v>25.875</v>
      </c>
      <c r="L729" s="111">
        <f>L726+L727+L728</f>
        <v>18.188013698630137</v>
      </c>
      <c r="M729" s="111">
        <f>M726+M727+M728</f>
        <v>15</v>
      </c>
      <c r="N729" s="111">
        <f>N726+N727+N728</f>
        <v>15</v>
      </c>
    </row>
    <row r="730" spans="3:14" x14ac:dyDescent="0.3">
      <c r="J730" s="99"/>
      <c r="K730" s="99"/>
      <c r="L730" s="99"/>
      <c r="M730" s="99"/>
      <c r="N730" s="99"/>
    </row>
    <row r="731" spans="3:14" x14ac:dyDescent="0.3">
      <c r="J731" s="99"/>
      <c r="K731" s="99"/>
      <c r="L731" s="99"/>
      <c r="M731" s="99"/>
      <c r="N731" s="99"/>
    </row>
    <row r="732" spans="3:14" x14ac:dyDescent="0.3">
      <c r="C732" s="2"/>
      <c r="E732" s="2"/>
      <c r="F732" s="2"/>
      <c r="G732" s="2"/>
      <c r="H732" s="2"/>
      <c r="I732" s="2"/>
      <c r="J732" s="126"/>
      <c r="K732" s="126"/>
      <c r="L732" s="126"/>
      <c r="M732" s="126"/>
      <c r="N732" s="126"/>
    </row>
    <row r="733" spans="3:14" ht="18" x14ac:dyDescent="0.35">
      <c r="C733" s="62" t="s">
        <v>1200</v>
      </c>
      <c r="J733" s="99"/>
      <c r="K733" s="99"/>
      <c r="L733" s="99"/>
      <c r="M733" s="99"/>
      <c r="N733" s="99"/>
    </row>
    <row r="734" spans="3:14" x14ac:dyDescent="0.3">
      <c r="C734" t="s">
        <v>1197</v>
      </c>
      <c r="E734">
        <v>18.600000000000001</v>
      </c>
      <c r="F734">
        <v>21.900000000000002</v>
      </c>
      <c r="G734">
        <v>33.799999999999997</v>
      </c>
      <c r="H734">
        <v>52.399999999999991</v>
      </c>
      <c r="I734">
        <v>55.699999999999989</v>
      </c>
      <c r="J734" s="99">
        <f>I740</f>
        <v>58.499999999999986</v>
      </c>
      <c r="K734" s="99">
        <f t="shared" ref="K734:N734" si="303">J740</f>
        <v>63.6067974350904</v>
      </c>
      <c r="L734" s="99">
        <f t="shared" si="303"/>
        <v>68.810213507833538</v>
      </c>
      <c r="M734" s="99">
        <f t="shared" si="303"/>
        <v>74.112076205585566</v>
      </c>
      <c r="N734" s="99">
        <f t="shared" si="303"/>
        <v>79.514248100518344</v>
      </c>
    </row>
    <row r="735" spans="3:14" x14ac:dyDescent="0.3">
      <c r="C735" t="s">
        <v>1198</v>
      </c>
      <c r="G735">
        <v>13.1</v>
      </c>
      <c r="J735" s="99"/>
      <c r="K735" s="99"/>
      <c r="L735" s="99"/>
      <c r="M735" s="99"/>
      <c r="N735" s="99"/>
    </row>
    <row r="736" spans="3:14" x14ac:dyDescent="0.3">
      <c r="C736" t="s">
        <v>1193</v>
      </c>
      <c r="E736">
        <v>4.3</v>
      </c>
      <c r="F736">
        <v>13.3</v>
      </c>
      <c r="G736">
        <v>9.1999999999999993</v>
      </c>
      <c r="H736">
        <v>7.9</v>
      </c>
      <c r="I736">
        <v>5.5</v>
      </c>
      <c r="J736" s="99">
        <f>I736</f>
        <v>5.5</v>
      </c>
      <c r="K736" s="99">
        <f t="shared" ref="K736:N736" si="304">J736</f>
        <v>5.5</v>
      </c>
      <c r="L736" s="99">
        <f t="shared" si="304"/>
        <v>5.5</v>
      </c>
      <c r="M736" s="99">
        <f t="shared" si="304"/>
        <v>5.5</v>
      </c>
      <c r="N736" s="99">
        <f t="shared" si="304"/>
        <v>5.5</v>
      </c>
    </row>
    <row r="737" spans="1:14" x14ac:dyDescent="0.3">
      <c r="C737" t="s">
        <v>1194</v>
      </c>
      <c r="E737">
        <v>-1.4</v>
      </c>
      <c r="F737">
        <v>-2.2000000000000002</v>
      </c>
      <c r="G737">
        <v>-4.0999999999999996</v>
      </c>
      <c r="H737">
        <v>-1.2</v>
      </c>
      <c r="I737">
        <v>-1.5</v>
      </c>
      <c r="J737" s="99">
        <f>I737</f>
        <v>-1.5</v>
      </c>
      <c r="K737" s="99">
        <f t="shared" ref="K737:N737" si="305">J737</f>
        <v>-1.5</v>
      </c>
      <c r="L737" s="99">
        <f t="shared" si="305"/>
        <v>-1.5</v>
      </c>
      <c r="M737" s="99">
        <f t="shared" si="305"/>
        <v>-1.5</v>
      </c>
      <c r="N737" s="99">
        <f t="shared" si="305"/>
        <v>-1.5</v>
      </c>
    </row>
    <row r="738" spans="1:14" x14ac:dyDescent="0.3">
      <c r="C738" t="s">
        <v>1195</v>
      </c>
      <c r="G738">
        <v>-0.1</v>
      </c>
      <c r="H738">
        <v>-3.6</v>
      </c>
      <c r="I738">
        <v>-2.2000000000000002</v>
      </c>
      <c r="J738" s="99">
        <v>0</v>
      </c>
      <c r="K738" s="99">
        <v>0</v>
      </c>
      <c r="L738" s="99">
        <v>0</v>
      </c>
      <c r="M738" s="99">
        <v>0</v>
      </c>
      <c r="N738" s="99">
        <v>0</v>
      </c>
    </row>
    <row r="739" spans="1:14" x14ac:dyDescent="0.3">
      <c r="C739" t="s">
        <v>1196</v>
      </c>
      <c r="E739">
        <v>0.4</v>
      </c>
      <c r="F739">
        <v>0.8</v>
      </c>
      <c r="G739">
        <v>0.5</v>
      </c>
      <c r="H739">
        <v>0.2</v>
      </c>
      <c r="I739">
        <v>1</v>
      </c>
      <c r="J739" s="99">
        <f>J734*$J$603</f>
        <v>1.1067974350904137</v>
      </c>
      <c r="K739" s="99">
        <f>K734*$J$603</f>
        <v>1.203416072743138</v>
      </c>
      <c r="L739" s="99">
        <f>L734*$J$603</f>
        <v>1.3018626977520327</v>
      </c>
      <c r="M739" s="99">
        <f>M734*$J$603</f>
        <v>1.4021718949327762</v>
      </c>
      <c r="N739" s="99">
        <f>N734*$J$603</f>
        <v>1.5043789034324191</v>
      </c>
    </row>
    <row r="740" spans="1:14" x14ac:dyDescent="0.3">
      <c r="C740" t="s">
        <v>1057</v>
      </c>
      <c r="E740" s="47">
        <f t="shared" ref="E740:N740" si="306">SUM(E734:E739)</f>
        <v>21.900000000000002</v>
      </c>
      <c r="F740" s="47">
        <f t="shared" si="306"/>
        <v>33.799999999999997</v>
      </c>
      <c r="G740" s="47">
        <f t="shared" si="306"/>
        <v>52.399999999999991</v>
      </c>
      <c r="H740" s="47">
        <f t="shared" si="306"/>
        <v>55.699999999999989</v>
      </c>
      <c r="I740" s="47">
        <f t="shared" si="306"/>
        <v>58.499999999999986</v>
      </c>
      <c r="J740" s="111">
        <f t="shared" si="306"/>
        <v>63.6067974350904</v>
      </c>
      <c r="K740" s="111">
        <f t="shared" si="306"/>
        <v>68.810213507833538</v>
      </c>
      <c r="L740" s="111">
        <f t="shared" si="306"/>
        <v>74.112076205585566</v>
      </c>
      <c r="M740" s="111">
        <f t="shared" si="306"/>
        <v>79.514248100518344</v>
      </c>
      <c r="N740" s="111">
        <f t="shared" si="306"/>
        <v>85.018627003950769</v>
      </c>
    </row>
    <row r="746" spans="1:14" x14ac:dyDescent="0.3">
      <c r="C746" s="2" t="s">
        <v>1189</v>
      </c>
      <c r="J746" s="99"/>
      <c r="K746" s="99"/>
      <c r="L746" s="99"/>
      <c r="M746" s="99"/>
      <c r="N746" s="99"/>
    </row>
    <row r="747" spans="1:14" x14ac:dyDescent="0.3">
      <c r="A747" t="s">
        <v>986</v>
      </c>
      <c r="C747" t="str">
        <f>C211</f>
        <v>Lease liabilities</v>
      </c>
      <c r="E747">
        <f>E211</f>
        <v>162.6</v>
      </c>
      <c r="F747">
        <f>F211</f>
        <v>146.19999999999999</v>
      </c>
      <c r="G747">
        <f>G211</f>
        <v>167.8</v>
      </c>
      <c r="H747">
        <f>H211</f>
        <v>170.8</v>
      </c>
      <c r="I747">
        <f>I211</f>
        <v>168.1</v>
      </c>
      <c r="J747" s="99">
        <f>$I$628*J749</f>
        <v>159.6312225725564</v>
      </c>
      <c r="K747" s="99">
        <f>$I$628*K749</f>
        <v>152.17612269481702</v>
      </c>
      <c r="L747" s="99">
        <f>$I$628*L749</f>
        <v>146.21843053870612</v>
      </c>
      <c r="M747" s="99">
        <f>$I$628*M749</f>
        <v>141.67755048528767</v>
      </c>
      <c r="N747" s="99">
        <f>$I$628*N749</f>
        <v>138.62628825416641</v>
      </c>
    </row>
    <row r="748" spans="1:14" x14ac:dyDescent="0.3">
      <c r="A748" t="s">
        <v>1186</v>
      </c>
      <c r="C748" t="str">
        <f>C221</f>
        <v>lease liabilities</v>
      </c>
      <c r="E748">
        <f>E221</f>
        <v>894.9</v>
      </c>
      <c r="F748">
        <f>F221</f>
        <v>877.1</v>
      </c>
      <c r="G748">
        <f>G221</f>
        <v>869.9</v>
      </c>
      <c r="H748">
        <f>H221</f>
        <v>843.6</v>
      </c>
      <c r="I748">
        <f>I221</f>
        <v>831.7</v>
      </c>
      <c r="J748" s="99">
        <f>$I$629*J749</f>
        <v>789.79945159782972</v>
      </c>
      <c r="K748" s="99">
        <f>$I$629*K749</f>
        <v>752.91422513551072</v>
      </c>
      <c r="L748" s="99">
        <f>$I$629*L749</f>
        <v>723.43764829888107</v>
      </c>
      <c r="M748" s="99">
        <f>$I$629*M749</f>
        <v>700.97096215713134</v>
      </c>
      <c r="N748" s="99">
        <f>$I$629*N749</f>
        <v>685.87438394402284</v>
      </c>
    </row>
    <row r="749" spans="1:14" x14ac:dyDescent="0.3">
      <c r="C749" t="s">
        <v>113</v>
      </c>
      <c r="E749" s="47">
        <f>SUM(E747:E748)</f>
        <v>1057.5</v>
      </c>
      <c r="F749" s="47">
        <f t="shared" ref="F749:I749" si="307">SUM(F747:F748)</f>
        <v>1023.3</v>
      </c>
      <c r="G749" s="47">
        <f t="shared" si="307"/>
        <v>1037.7</v>
      </c>
      <c r="H749" s="47">
        <f t="shared" si="307"/>
        <v>1014.4000000000001</v>
      </c>
      <c r="I749" s="47">
        <f t="shared" si="307"/>
        <v>999.80000000000007</v>
      </c>
      <c r="J749" s="111">
        <f>-J760</f>
        <v>949.43067417038617</v>
      </c>
      <c r="K749" s="111">
        <f>-K760</f>
        <v>905.09034783032769</v>
      </c>
      <c r="L749" s="111">
        <f>-L760</f>
        <v>869.65607883758719</v>
      </c>
      <c r="M749" s="111">
        <f>-M760</f>
        <v>842.64851264241895</v>
      </c>
      <c r="N749" s="111">
        <f>-N760</f>
        <v>824.50067219818925</v>
      </c>
    </row>
    <row r="750" spans="1:14" x14ac:dyDescent="0.3">
      <c r="E750" s="2"/>
      <c r="F750" s="2"/>
      <c r="G750" s="2"/>
      <c r="H750" s="2"/>
      <c r="I750" s="2"/>
      <c r="J750" s="126"/>
      <c r="K750" s="126"/>
      <c r="L750" s="126"/>
      <c r="M750" s="126"/>
      <c r="N750" s="126"/>
    </row>
    <row r="751" spans="1:14" x14ac:dyDescent="0.3">
      <c r="E751" s="2"/>
      <c r="F751" s="2"/>
      <c r="G751" s="2"/>
      <c r="H751" s="2"/>
      <c r="I751" s="2"/>
      <c r="J751" s="126"/>
      <c r="K751" s="126"/>
      <c r="L751" s="126"/>
      <c r="M751" s="126"/>
      <c r="N751" s="126"/>
    </row>
    <row r="752" spans="1:14" x14ac:dyDescent="0.3">
      <c r="C752" t="str">
        <f>C372</f>
        <v>Opening Balance</v>
      </c>
      <c r="E752">
        <v>-1185.9000000000001</v>
      </c>
      <c r="F752">
        <f>E760</f>
        <v>-1057.5000000000002</v>
      </c>
      <c r="G752">
        <f t="shared" ref="G752:I752" si="308">F760</f>
        <v>-1023.3000000000004</v>
      </c>
      <c r="H752">
        <f t="shared" si="308"/>
        <v>-1037.7000000000005</v>
      </c>
      <c r="I752">
        <f t="shared" si="308"/>
        <v>-1014.4000000000008</v>
      </c>
      <c r="J752" s="99">
        <f>I760</f>
        <v>-999.80000000000075</v>
      </c>
      <c r="K752" s="99">
        <f t="shared" ref="K752:N752" si="309">J760</f>
        <v>-949.43067417038617</v>
      </c>
      <c r="L752" s="99">
        <f t="shared" si="309"/>
        <v>-905.09034783032769</v>
      </c>
      <c r="M752" s="99">
        <f t="shared" si="309"/>
        <v>-869.65607883758719</v>
      </c>
      <c r="N752" s="99">
        <f t="shared" si="309"/>
        <v>-842.64851264241895</v>
      </c>
    </row>
    <row r="753" spans="3:14" x14ac:dyDescent="0.3">
      <c r="C753" t="str">
        <f>C373</f>
        <v>Additions</v>
      </c>
      <c r="E753">
        <v>-41.2</v>
      </c>
      <c r="F753">
        <v>-84.2</v>
      </c>
      <c r="G753">
        <v>-40.1</v>
      </c>
      <c r="H753">
        <v>-131.9</v>
      </c>
      <c r="I753">
        <v>-129.30000000000001</v>
      </c>
      <c r="J753" s="99">
        <f>-J373</f>
        <v>-94.530910763445306</v>
      </c>
      <c r="K753" s="99">
        <f t="shared" ref="K753:N753" si="310">-K373</f>
        <v>-103.32068954729034</v>
      </c>
      <c r="L753" s="99">
        <f t="shared" si="310"/>
        <v>-114.65707235252157</v>
      </c>
      <c r="M753" s="99">
        <f t="shared" si="310"/>
        <v>-125.02595314299238</v>
      </c>
      <c r="N753" s="99">
        <f t="shared" si="310"/>
        <v>-135.36598319248318</v>
      </c>
    </row>
    <row r="754" spans="3:14" x14ac:dyDescent="0.3">
      <c r="C754" t="s">
        <v>1229</v>
      </c>
      <c r="G754">
        <v>-84.7</v>
      </c>
      <c r="J754" s="99"/>
      <c r="K754" s="99"/>
      <c r="L754" s="99"/>
      <c r="M754" s="99"/>
      <c r="N754" s="99"/>
    </row>
    <row r="755" spans="3:14" x14ac:dyDescent="0.3">
      <c r="C755" t="s">
        <v>1225</v>
      </c>
      <c r="E755">
        <v>-12.9</v>
      </c>
      <c r="F755">
        <v>-41.5</v>
      </c>
      <c r="G755">
        <v>-52.9</v>
      </c>
      <c r="H755">
        <v>-32.9</v>
      </c>
      <c r="I755">
        <v>-31.3</v>
      </c>
      <c r="J755" s="99">
        <f>I755</f>
        <v>-31.3</v>
      </c>
      <c r="K755" s="99">
        <f t="shared" ref="K755:N755" si="311">J755</f>
        <v>-31.3</v>
      </c>
      <c r="L755" s="99">
        <f t="shared" si="311"/>
        <v>-31.3</v>
      </c>
      <c r="M755" s="99">
        <f t="shared" si="311"/>
        <v>-31.3</v>
      </c>
      <c r="N755" s="99">
        <f t="shared" si="311"/>
        <v>-31.3</v>
      </c>
    </row>
    <row r="756" spans="3:14" x14ac:dyDescent="0.3">
      <c r="C756" t="s">
        <v>1226</v>
      </c>
      <c r="E756">
        <v>222.7</v>
      </c>
      <c r="F756">
        <v>204.4</v>
      </c>
      <c r="G756">
        <v>204</v>
      </c>
      <c r="H756">
        <v>219.4</v>
      </c>
      <c r="I756">
        <v>223</v>
      </c>
      <c r="J756" s="99">
        <f>I756</f>
        <v>223</v>
      </c>
      <c r="K756" s="99">
        <f t="shared" ref="K756:N756" si="312">J756</f>
        <v>223</v>
      </c>
      <c r="L756" s="99">
        <f t="shared" si="312"/>
        <v>223</v>
      </c>
      <c r="M756" s="99">
        <f t="shared" si="312"/>
        <v>223</v>
      </c>
      <c r="N756" s="99">
        <f t="shared" si="312"/>
        <v>223</v>
      </c>
    </row>
    <row r="757" spans="3:14" x14ac:dyDescent="0.3">
      <c r="C757" t="s">
        <v>1227</v>
      </c>
      <c r="E757">
        <v>-50.4</v>
      </c>
      <c r="F757">
        <v>-47.3</v>
      </c>
      <c r="G757">
        <v>-47.9</v>
      </c>
      <c r="H757">
        <v>-54.8</v>
      </c>
      <c r="I757">
        <v>-55.6</v>
      </c>
      <c r="J757" s="99">
        <f>ABS(J752)*$J$626*-1</f>
        <v>-54.799763406940059</v>
      </c>
      <c r="K757" s="99">
        <f t="shared" ref="K757:N757" si="313">ABS(K752)*$J$626*-1</f>
        <v>-52.038984112651249</v>
      </c>
      <c r="L757" s="99">
        <f t="shared" si="313"/>
        <v>-49.608658654737951</v>
      </c>
      <c r="M757" s="99">
        <f t="shared" si="313"/>
        <v>-47.666480661839323</v>
      </c>
      <c r="N757" s="99">
        <f t="shared" si="313"/>
        <v>-46.186176363287125</v>
      </c>
    </row>
    <row r="758" spans="3:14" x14ac:dyDescent="0.3">
      <c r="C758" t="s">
        <v>353</v>
      </c>
      <c r="E758">
        <v>9.5</v>
      </c>
      <c r="F758">
        <v>5.5</v>
      </c>
      <c r="G758">
        <v>6.3</v>
      </c>
      <c r="H758">
        <v>23.1</v>
      </c>
      <c r="I758">
        <v>8</v>
      </c>
      <c r="J758" s="99">
        <f>I758</f>
        <v>8</v>
      </c>
      <c r="K758" s="99">
        <f t="shared" ref="K758:N758" si="314">J758</f>
        <v>8</v>
      </c>
      <c r="L758" s="99">
        <f t="shared" si="314"/>
        <v>8</v>
      </c>
      <c r="M758" s="99">
        <f t="shared" si="314"/>
        <v>8</v>
      </c>
      <c r="N758" s="99">
        <f t="shared" si="314"/>
        <v>8</v>
      </c>
    </row>
    <row r="759" spans="3:14" x14ac:dyDescent="0.3">
      <c r="C759" t="s">
        <v>1228</v>
      </c>
      <c r="E759">
        <v>0.7</v>
      </c>
      <c r="F759">
        <v>-2.7</v>
      </c>
      <c r="G759">
        <v>0.9</v>
      </c>
      <c r="H759">
        <v>0.4</v>
      </c>
      <c r="I759">
        <v>-0.2</v>
      </c>
      <c r="J759" s="99">
        <v>0</v>
      </c>
      <c r="K759" s="99">
        <v>0</v>
      </c>
      <c r="L759" s="99">
        <v>0</v>
      </c>
      <c r="M759" s="99">
        <v>0</v>
      </c>
      <c r="N759" s="99">
        <v>0</v>
      </c>
    </row>
    <row r="760" spans="3:14" x14ac:dyDescent="0.3">
      <c r="C760" t="s">
        <v>1155</v>
      </c>
      <c r="E760" s="47">
        <f>SUM(E752:E759)</f>
        <v>-1057.5000000000002</v>
      </c>
      <c r="F760" s="47">
        <f t="shared" ref="F760:I760" si="315">SUM(F752:F759)</f>
        <v>-1023.3000000000004</v>
      </c>
      <c r="G760" s="47">
        <f>SUM(G752:G759)</f>
        <v>-1037.7000000000005</v>
      </c>
      <c r="H760" s="47">
        <f t="shared" si="315"/>
        <v>-1014.4000000000008</v>
      </c>
      <c r="I760" s="47">
        <f t="shared" si="315"/>
        <v>-999.80000000000075</v>
      </c>
      <c r="J760" s="111">
        <f>SUM(J752:J759)</f>
        <v>-949.43067417038617</v>
      </c>
      <c r="K760" s="111">
        <f t="shared" ref="K760" si="316">SUM(K752:K759)</f>
        <v>-905.09034783032769</v>
      </c>
      <c r="L760" s="111">
        <f t="shared" ref="L760" si="317">SUM(L752:L759)</f>
        <v>-869.65607883758719</v>
      </c>
      <c r="M760" s="111">
        <f t="shared" ref="M760" si="318">SUM(M752:M759)</f>
        <v>-842.64851264241895</v>
      </c>
      <c r="N760" s="111">
        <f t="shared" ref="N760" si="319">SUM(N752:N759)</f>
        <v>-824.50067219818925</v>
      </c>
    </row>
    <row r="761" spans="3:14" x14ac:dyDescent="0.3">
      <c r="C761" t="s">
        <v>1307</v>
      </c>
      <c r="D761" s="90">
        <f>J626</f>
        <v>5.4810725552050431E-2</v>
      </c>
      <c r="E761" s="2"/>
      <c r="F761" s="2"/>
      <c r="G761" s="2"/>
      <c r="H761" s="2"/>
      <c r="I761" s="2"/>
      <c r="J761" s="126"/>
      <c r="K761" s="126"/>
      <c r="L761" s="126"/>
      <c r="M761" s="126"/>
      <c r="N761" s="126"/>
    </row>
    <row r="766" spans="3:14" x14ac:dyDescent="0.3">
      <c r="C766" t="s">
        <v>1258</v>
      </c>
      <c r="J766" s="99">
        <f>J167</f>
        <v>60.200000000000287</v>
      </c>
      <c r="K766" s="99">
        <f>K167</f>
        <v>72.757039999999975</v>
      </c>
      <c r="L766" s="99">
        <f>L167</f>
        <v>177.50655975414099</v>
      </c>
      <c r="M766" s="99">
        <f>M167</f>
        <v>207.86905135488212</v>
      </c>
      <c r="N766" s="99">
        <f>N167</f>
        <v>498.53479212255513</v>
      </c>
    </row>
    <row r="767" spans="3:14" x14ac:dyDescent="0.3">
      <c r="C767" t="s">
        <v>1304</v>
      </c>
      <c r="J767" s="99">
        <f>J664+J676+J685+J705+J713+J719</f>
        <v>12.557039999999731</v>
      </c>
      <c r="K767" s="99">
        <f>K664+K676+K685+K705+K713+K719</f>
        <v>104.74951975414122</v>
      </c>
      <c r="L767" s="99">
        <f>L664+L676+L685+L705+L713+L719</f>
        <v>30.362491600741123</v>
      </c>
      <c r="M767" s="99">
        <f>M664+M676+M685+M705+M713+M719</f>
        <v>290.66574076767307</v>
      </c>
      <c r="N767" s="99">
        <f>N664+N676+N685+N705+N713+N719</f>
        <v>227.775666958344</v>
      </c>
    </row>
    <row r="768" spans="3:14" x14ac:dyDescent="0.3">
      <c r="C768" t="s">
        <v>1305</v>
      </c>
      <c r="J768" s="111">
        <f>J766+J767</f>
        <v>72.757040000000018</v>
      </c>
      <c r="K768" s="111">
        <f t="shared" ref="K768:N768" si="320">K766+K767</f>
        <v>177.50655975414119</v>
      </c>
      <c r="L768" s="111">
        <f t="shared" si="320"/>
        <v>207.86905135488212</v>
      </c>
      <c r="M768" s="111">
        <f t="shared" si="320"/>
        <v>498.53479212255519</v>
      </c>
      <c r="N768" s="111">
        <f t="shared" si="320"/>
        <v>726.31045908089914</v>
      </c>
    </row>
    <row r="771" spans="1:26" x14ac:dyDescent="0.3">
      <c r="C771" t="s">
        <v>1290</v>
      </c>
      <c r="E771" s="2"/>
      <c r="F771" s="2"/>
      <c r="G771" s="2"/>
      <c r="H771" s="2"/>
      <c r="I771" s="2"/>
      <c r="J771" s="99">
        <f>I773</f>
        <v>96.2</v>
      </c>
      <c r="K771" s="99">
        <f t="shared" ref="K771:N771" si="321">J773</f>
        <v>108.75703999999998</v>
      </c>
      <c r="L771" s="99">
        <f t="shared" si="321"/>
        <v>213.50655975414099</v>
      </c>
      <c r="M771" s="99">
        <f t="shared" si="321"/>
        <v>243.86905135488212</v>
      </c>
      <c r="N771" s="99">
        <f t="shared" si="321"/>
        <v>534.53479212255513</v>
      </c>
    </row>
    <row r="772" spans="1:26" x14ac:dyDescent="0.3">
      <c r="C772" t="s">
        <v>1291</v>
      </c>
      <c r="E772" s="2"/>
      <c r="F772" s="2"/>
      <c r="G772" s="2"/>
      <c r="H772" s="2"/>
      <c r="I772" s="2"/>
      <c r="J772" s="99">
        <f>J773-J771</f>
        <v>12.557039999999972</v>
      </c>
      <c r="K772" s="99">
        <f t="shared" ref="K772:N772" si="322">K773-K771</f>
        <v>104.74951975414102</v>
      </c>
      <c r="L772" s="99">
        <f t="shared" si="322"/>
        <v>30.362491600741123</v>
      </c>
      <c r="M772" s="99">
        <f t="shared" si="322"/>
        <v>290.66574076767301</v>
      </c>
      <c r="N772" s="99">
        <f t="shared" si="322"/>
        <v>227.77566695834412</v>
      </c>
    </row>
    <row r="773" spans="1:26" x14ac:dyDescent="0.3">
      <c r="C773" s="2" t="s">
        <v>1292</v>
      </c>
      <c r="E773" s="2"/>
      <c r="F773" s="2"/>
      <c r="G773" s="2"/>
      <c r="H773" s="2"/>
      <c r="I773" s="57">
        <f t="shared" ref="I773:N773" si="323">I587</f>
        <v>96.2</v>
      </c>
      <c r="J773" s="57">
        <f t="shared" si="323"/>
        <v>108.75703999999998</v>
      </c>
      <c r="K773" s="57">
        <f t="shared" si="323"/>
        <v>213.50655975414099</v>
      </c>
      <c r="L773" s="57">
        <f t="shared" si="323"/>
        <v>243.86905135488212</v>
      </c>
      <c r="M773" s="57">
        <f t="shared" si="323"/>
        <v>534.53479212255513</v>
      </c>
      <c r="N773" s="57">
        <f t="shared" si="323"/>
        <v>762.31045908089925</v>
      </c>
    </row>
    <row r="774" spans="1:26" x14ac:dyDescent="0.3">
      <c r="C774" s="2"/>
      <c r="E774" s="2"/>
      <c r="F774" s="2"/>
      <c r="G774" s="2"/>
      <c r="H774" s="2"/>
      <c r="I774" s="2"/>
      <c r="J774" s="126"/>
      <c r="K774" s="126"/>
      <c r="L774" s="126"/>
      <c r="M774" s="126"/>
      <c r="N774" s="126"/>
    </row>
    <row r="775" spans="1:26" x14ac:dyDescent="0.3">
      <c r="C775" s="2" t="s">
        <v>1252</v>
      </c>
      <c r="D775" s="90">
        <f>D647</f>
        <v>3.7499999999999999E-2</v>
      </c>
      <c r="E775" s="2"/>
      <c r="F775" s="2"/>
      <c r="G775" s="2"/>
      <c r="H775" s="2"/>
      <c r="I775" s="2"/>
      <c r="J775" s="126"/>
      <c r="K775" s="126"/>
      <c r="L775" s="126"/>
      <c r="M775" s="126"/>
      <c r="N775" s="126"/>
    </row>
    <row r="776" spans="1:26" x14ac:dyDescent="0.3">
      <c r="C776" s="2" t="s">
        <v>784</v>
      </c>
      <c r="E776" s="2"/>
      <c r="F776" s="2"/>
      <c r="G776" s="2"/>
      <c r="H776" s="2"/>
      <c r="I776" s="2"/>
      <c r="J776" s="126">
        <f>IF(circularity=1,AVERAGE(I773:J773)*$D$775,J771*$D$775)</f>
        <v>3.6074999999999999</v>
      </c>
      <c r="K776" s="126">
        <f>IF(circularity=1,AVERAGE(J773:K773)*$D$775,K771*$D$775)</f>
        <v>4.0783889999999987</v>
      </c>
      <c r="L776" s="126">
        <f>IF(circularity=1,AVERAGE(K773:L773)*$D$775,L771*$D$775)</f>
        <v>8.0064959907802873</v>
      </c>
      <c r="M776" s="126">
        <f>IF(circularity=1,AVERAGE(L773:M773)*$D$775,M771*$D$775)</f>
        <v>9.145089425808079</v>
      </c>
      <c r="N776" s="126">
        <f>IF(circularity=1,AVERAGE(M773:N773)*$D$775,N771*$D$775)</f>
        <v>20.045054704595817</v>
      </c>
    </row>
    <row r="777" spans="1:26" x14ac:dyDescent="0.3">
      <c r="J777" s="99"/>
      <c r="K777" s="99"/>
      <c r="L777" s="99"/>
      <c r="M777" s="99"/>
      <c r="N777" s="99"/>
    </row>
    <row r="778" spans="1:26" x14ac:dyDescent="0.3">
      <c r="C778" t="s">
        <v>1247</v>
      </c>
      <c r="G778">
        <f>G590-33.9</f>
        <v>154.4</v>
      </c>
      <c r="J778" s="99"/>
      <c r="K778" s="99"/>
      <c r="L778" s="99"/>
      <c r="M778" s="99"/>
      <c r="N778" s="99"/>
    </row>
    <row r="779" spans="1:26" x14ac:dyDescent="0.3">
      <c r="C779" t="s">
        <v>1248</v>
      </c>
      <c r="G779">
        <f>33.9+G581</f>
        <v>38.9</v>
      </c>
      <c r="J779" s="99"/>
      <c r="K779" s="99"/>
      <c r="L779" s="99"/>
      <c r="M779" s="99"/>
      <c r="N779" s="99"/>
    </row>
    <row r="780" spans="1:26" x14ac:dyDescent="0.3">
      <c r="J780" s="99"/>
      <c r="K780" s="99"/>
      <c r="L780" s="99"/>
      <c r="M780" s="99"/>
      <c r="N780" s="99"/>
    </row>
    <row r="781" spans="1:26" x14ac:dyDescent="0.3">
      <c r="C781" s="2" t="s">
        <v>1249</v>
      </c>
      <c r="G781" s="2">
        <f>G778-G591</f>
        <v>124.30000000000001</v>
      </c>
      <c r="J781" s="99"/>
      <c r="K781" s="99"/>
      <c r="L781" s="99"/>
      <c r="M781" s="99"/>
      <c r="N781" s="99"/>
    </row>
    <row r="783" spans="1:26" ht="15" thickBot="1" x14ac:dyDescent="0.35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6" spans="2:9" x14ac:dyDescent="0.3">
      <c r="C786" s="2" t="s">
        <v>1331</v>
      </c>
    </row>
    <row r="787" spans="2:9" x14ac:dyDescent="0.3">
      <c r="C787" s="2" t="str">
        <f>C32</f>
        <v>Profit before taxation</v>
      </c>
      <c r="E787" s="2">
        <f>E32</f>
        <v>823.09999999999945</v>
      </c>
      <c r="F787" s="2">
        <f>F32</f>
        <v>869.29999999999939</v>
      </c>
      <c r="G787" s="2">
        <f>G32</f>
        <v>1015.8</v>
      </c>
      <c r="H787" s="2">
        <f>H32</f>
        <v>986.99999999999943</v>
      </c>
      <c r="I787" s="2">
        <f>I32</f>
        <v>1192.6000000000001</v>
      </c>
    </row>
    <row r="788" spans="2:9" x14ac:dyDescent="0.3">
      <c r="B788" s="2" t="s">
        <v>1333</v>
      </c>
      <c r="C788" s="2"/>
    </row>
    <row r="789" spans="2:9" x14ac:dyDescent="0.3">
      <c r="C789" t="s">
        <v>296</v>
      </c>
      <c r="E789">
        <f>-E23</f>
        <v>-2.5</v>
      </c>
      <c r="F789">
        <f>-F23</f>
        <v>16.3</v>
      </c>
      <c r="G789">
        <f>-G23</f>
        <v>-12.3</v>
      </c>
      <c r="H789">
        <f>-H23</f>
        <v>-3.4</v>
      </c>
      <c r="I789">
        <f>-I23</f>
        <v>3.4</v>
      </c>
    </row>
    <row r="790" spans="2:9" x14ac:dyDescent="0.3">
      <c r="C790" t="s">
        <v>165</v>
      </c>
      <c r="H790">
        <f>-H27</f>
        <v>14.5</v>
      </c>
    </row>
    <row r="791" spans="2:9" x14ac:dyDescent="0.3">
      <c r="C791" t="s">
        <v>164</v>
      </c>
      <c r="G791">
        <f>-G26</f>
        <v>0</v>
      </c>
      <c r="H791">
        <f>-H26</f>
        <v>13</v>
      </c>
      <c r="I791">
        <f>-I26</f>
        <v>2.9</v>
      </c>
    </row>
    <row r="792" spans="2:9" x14ac:dyDescent="0.3">
      <c r="C792" t="s">
        <v>300</v>
      </c>
      <c r="G792">
        <f>-G29</f>
        <v>-108.6</v>
      </c>
    </row>
    <row r="793" spans="2:9" x14ac:dyDescent="0.3">
      <c r="B793" s="2" t="s">
        <v>1332</v>
      </c>
      <c r="E793" s="46">
        <f>SUM(E787:E792)</f>
        <v>820.59999999999945</v>
      </c>
      <c r="F793" s="46">
        <f t="shared" ref="F793:I793" si="324">SUM(F787:F792)</f>
        <v>885.59999999999934</v>
      </c>
      <c r="G793" s="46">
        <f t="shared" si="324"/>
        <v>894.9</v>
      </c>
      <c r="H793" s="46">
        <f t="shared" si="324"/>
        <v>1011.0999999999995</v>
      </c>
      <c r="I793" s="46">
        <f t="shared" si="324"/>
        <v>1198.9000000000003</v>
      </c>
    </row>
    <row r="794" spans="2:9" x14ac:dyDescent="0.3">
      <c r="C794" t="s">
        <v>376</v>
      </c>
      <c r="E794">
        <v>-16.2</v>
      </c>
    </row>
    <row r="795" spans="2:9" x14ac:dyDescent="0.3">
      <c r="C795" t="s">
        <v>164</v>
      </c>
      <c r="F795">
        <v>0.7</v>
      </c>
    </row>
    <row r="796" spans="2:9" x14ac:dyDescent="0.3">
      <c r="C796" t="s">
        <v>566</v>
      </c>
      <c r="I796">
        <v>2.4</v>
      </c>
    </row>
    <row r="797" spans="2:9" x14ac:dyDescent="0.3">
      <c r="C797" t="s">
        <v>578</v>
      </c>
      <c r="E797">
        <v>-3.1</v>
      </c>
      <c r="F797">
        <v>-2.7</v>
      </c>
    </row>
    <row r="798" spans="2:9" x14ac:dyDescent="0.3">
      <c r="C798" t="s">
        <v>1335</v>
      </c>
      <c r="E798">
        <v>-1.2</v>
      </c>
      <c r="F798">
        <v>-34.9</v>
      </c>
      <c r="G798">
        <v>-5.9</v>
      </c>
      <c r="H798">
        <v>-1.7</v>
      </c>
      <c r="I798">
        <v>3.8</v>
      </c>
    </row>
    <row r="799" spans="2:9" x14ac:dyDescent="0.3">
      <c r="C799" t="s">
        <v>1334</v>
      </c>
      <c r="G799">
        <v>1.7</v>
      </c>
      <c r="H799">
        <v>3.4</v>
      </c>
      <c r="I799">
        <v>0.3</v>
      </c>
    </row>
    <row r="800" spans="2:9" x14ac:dyDescent="0.3">
      <c r="C800" t="s">
        <v>573</v>
      </c>
      <c r="E800">
        <v>0.5</v>
      </c>
      <c r="F800">
        <v>0.6</v>
      </c>
      <c r="G800">
        <v>1.3</v>
      </c>
      <c r="H800">
        <v>0</v>
      </c>
      <c r="I800">
        <v>3.8</v>
      </c>
    </row>
    <row r="801" spans="3:19" x14ac:dyDescent="0.3">
      <c r="C801" t="s">
        <v>575</v>
      </c>
      <c r="H801">
        <v>6.4</v>
      </c>
    </row>
    <row r="802" spans="3:19" x14ac:dyDescent="0.3">
      <c r="C802" t="s">
        <v>574</v>
      </c>
      <c r="E802">
        <v>0.5</v>
      </c>
      <c r="F802">
        <v>-3.9000000000000021</v>
      </c>
      <c r="G802">
        <v>-0.59999999999999432</v>
      </c>
      <c r="H802">
        <v>6.4000000000000057</v>
      </c>
      <c r="I802">
        <v>4.9000000000000057</v>
      </c>
    </row>
    <row r="803" spans="3:19" x14ac:dyDescent="0.3">
      <c r="C803" t="s">
        <v>739</v>
      </c>
      <c r="H803">
        <v>-10</v>
      </c>
      <c r="I803">
        <v>-20</v>
      </c>
    </row>
    <row r="804" spans="3:19" x14ac:dyDescent="0.3">
      <c r="C804" t="s">
        <v>737</v>
      </c>
      <c r="I804">
        <v>8</v>
      </c>
    </row>
    <row r="805" spans="3:19" x14ac:dyDescent="0.3">
      <c r="C805" t="s">
        <v>373</v>
      </c>
      <c r="E805">
        <v>-13.4</v>
      </c>
      <c r="F805">
        <v>-17.7</v>
      </c>
      <c r="G805">
        <v>-1.6</v>
      </c>
      <c r="I805">
        <v>-16.3</v>
      </c>
    </row>
    <row r="806" spans="3:19" x14ac:dyDescent="0.3">
      <c r="C806" t="s">
        <v>581</v>
      </c>
      <c r="E806">
        <v>0.2</v>
      </c>
    </row>
    <row r="807" spans="3:19" x14ac:dyDescent="0.3">
      <c r="C807" t="s">
        <v>1336</v>
      </c>
      <c r="E807" s="2">
        <f>SUM(E794:E806)</f>
        <v>-32.699999999999996</v>
      </c>
      <c r="F807" s="2">
        <f>SUM(F794:F806)</f>
        <v>-57.900000000000006</v>
      </c>
      <c r="G807" s="2">
        <f t="shared" ref="G807:I807" si="325">SUM(G794:G806)</f>
        <v>-5.0999999999999943</v>
      </c>
      <c r="H807" s="2">
        <f t="shared" si="325"/>
        <v>4.5000000000000053</v>
      </c>
      <c r="I807" s="2">
        <f t="shared" si="325"/>
        <v>-13.099999999999996</v>
      </c>
    </row>
    <row r="810" spans="3:19" x14ac:dyDescent="0.3">
      <c r="C810" s="2" t="s">
        <v>324</v>
      </c>
      <c r="E810">
        <v>217.5</v>
      </c>
      <c r="F810">
        <v>208.1</v>
      </c>
      <c r="G810">
        <v>212.60000000000002</v>
      </c>
      <c r="H810">
        <v>259.10000000000002</v>
      </c>
      <c r="I810">
        <v>270.5</v>
      </c>
    </row>
    <row r="811" spans="3:19" x14ac:dyDescent="0.3">
      <c r="C811" s="2" t="s">
        <v>281</v>
      </c>
      <c r="E811">
        <v>3.1</v>
      </c>
      <c r="F811">
        <v>11.5</v>
      </c>
      <c r="G811">
        <v>28</v>
      </c>
      <c r="H811">
        <v>29.8</v>
      </c>
      <c r="I811">
        <v>32</v>
      </c>
    </row>
    <row r="813" spans="3:19" x14ac:dyDescent="0.3">
      <c r="F813" s="190">
        <f>E5</f>
        <v>2022</v>
      </c>
      <c r="I813" s="190">
        <f>F5</f>
        <v>2023</v>
      </c>
      <c r="L813" s="190">
        <f>G5</f>
        <v>2024</v>
      </c>
      <c r="O813" s="190">
        <f>H5</f>
        <v>2025</v>
      </c>
      <c r="R813" s="190">
        <f>I5</f>
        <v>2026</v>
      </c>
    </row>
    <row r="814" spans="3:19" x14ac:dyDescent="0.3">
      <c r="C814" s="2" t="s">
        <v>1342</v>
      </c>
      <c r="E814" t="s">
        <v>1343</v>
      </c>
      <c r="F814" t="s">
        <v>1344</v>
      </c>
      <c r="G814" t="s">
        <v>301</v>
      </c>
      <c r="H814" t="s">
        <v>1343</v>
      </c>
      <c r="I814" t="s">
        <v>1344</v>
      </c>
      <c r="J814" t="s">
        <v>301</v>
      </c>
      <c r="K814" t="s">
        <v>1343</v>
      </c>
      <c r="L814" t="s">
        <v>1344</v>
      </c>
      <c r="M814" t="s">
        <v>301</v>
      </c>
      <c r="N814" t="s">
        <v>1343</v>
      </c>
      <c r="O814" t="s">
        <v>1344</v>
      </c>
      <c r="P814" t="s">
        <v>301</v>
      </c>
      <c r="Q814" t="s">
        <v>1343</v>
      </c>
      <c r="R814" t="s">
        <v>1344</v>
      </c>
      <c r="S814" t="s">
        <v>301</v>
      </c>
    </row>
    <row r="815" spans="3:19" x14ac:dyDescent="0.3">
      <c r="C815" t="str">
        <f>C32</f>
        <v>Profit before taxation</v>
      </c>
      <c r="E815">
        <f>E32</f>
        <v>823.09999999999945</v>
      </c>
      <c r="F815">
        <f>E50+E51+E52+E53+E55</f>
        <v>-35.199999999999996</v>
      </c>
      <c r="G815">
        <f>E815+F815</f>
        <v>787.89999999999941</v>
      </c>
      <c r="H815">
        <f>F32</f>
        <v>869.29999999999939</v>
      </c>
      <c r="I815">
        <f>F50+F51+F52+F53+F55</f>
        <v>-41.600000000000009</v>
      </c>
      <c r="J815">
        <f>H815+I815</f>
        <v>827.69999999999936</v>
      </c>
      <c r="K815">
        <f>G32</f>
        <v>1015.8</v>
      </c>
      <c r="L815">
        <f>G50+G51+G52+G53+G55</f>
        <v>91.2</v>
      </c>
      <c r="M815">
        <f>K815+L815</f>
        <v>1107</v>
      </c>
      <c r="N815">
        <f>H32</f>
        <v>986.99999999999943</v>
      </c>
      <c r="O815">
        <f>H50+H51+H52+H53+H55</f>
        <v>-0.39999999999999503</v>
      </c>
      <c r="P815">
        <f>N815+O815</f>
        <v>986.59999999999945</v>
      </c>
      <c r="Q815" s="100">
        <f>I32</f>
        <v>1192.6000000000001</v>
      </c>
      <c r="R815">
        <f>I50+I51+I52+I53+I55</f>
        <v>-6.7999999999999963</v>
      </c>
      <c r="S815">
        <f>Q815+R815</f>
        <v>1185.8000000000002</v>
      </c>
    </row>
    <row r="816" spans="3:19" x14ac:dyDescent="0.3">
      <c r="C816" t="str">
        <f t="shared" ref="C816:C817" si="326">C33</f>
        <v>Taxation</v>
      </c>
      <c r="E816">
        <f t="shared" ref="E816:E817" si="327">E33</f>
        <v>145.6</v>
      </c>
      <c r="F816">
        <f>$D$821*F815</f>
        <v>-8.7999999999999989</v>
      </c>
      <c r="G816">
        <f>E816+F816</f>
        <v>136.79999999999998</v>
      </c>
      <c r="H816">
        <f t="shared" ref="H816:H817" si="328">F33</f>
        <v>158.6</v>
      </c>
      <c r="I816">
        <f>$D$821*I815</f>
        <v>-10.400000000000002</v>
      </c>
      <c r="J816">
        <f>H816+I816</f>
        <v>148.19999999999999</v>
      </c>
      <c r="K816">
        <f t="shared" ref="K816:K817" si="329">G33</f>
        <v>215.3</v>
      </c>
      <c r="L816">
        <f>$D$821*L815</f>
        <v>22.8</v>
      </c>
      <c r="M816">
        <f>K816+L816</f>
        <v>238.10000000000002</v>
      </c>
      <c r="N816">
        <f t="shared" ref="N816:N817" si="330">H33</f>
        <v>243.8</v>
      </c>
      <c r="O816">
        <f>$D$821*O815</f>
        <v>-9.9999999999998757E-2</v>
      </c>
      <c r="P816">
        <f>N816+O816</f>
        <v>243.70000000000002</v>
      </c>
      <c r="Q816" s="100">
        <f t="shared" ref="Q816:Q817" si="331">I33</f>
        <v>294.60000000000002</v>
      </c>
      <c r="R816">
        <f>$D$821*R815</f>
        <v>-1.6999999999999991</v>
      </c>
      <c r="S816">
        <f>Q816+R816</f>
        <v>292.90000000000003</v>
      </c>
    </row>
    <row r="817" spans="3:19" x14ac:dyDescent="0.3">
      <c r="C817" t="str">
        <f t="shared" si="326"/>
        <v>Net Profit</v>
      </c>
      <c r="E817">
        <f t="shared" si="327"/>
        <v>677.49999999999943</v>
      </c>
      <c r="G817" s="47">
        <f>G815-G816</f>
        <v>651.09999999999945</v>
      </c>
      <c r="H817">
        <f t="shared" si="328"/>
        <v>710.69999999999936</v>
      </c>
      <c r="J817" s="47">
        <f>J815-J816</f>
        <v>679.49999999999932</v>
      </c>
      <c r="K817">
        <f t="shared" si="329"/>
        <v>800.5</v>
      </c>
      <c r="M817" s="47">
        <f>M815-M816</f>
        <v>868.9</v>
      </c>
      <c r="N817">
        <f t="shared" si="330"/>
        <v>743.19999999999936</v>
      </c>
      <c r="P817" s="47">
        <f>P815-P816</f>
        <v>742.89999999999941</v>
      </c>
      <c r="Q817" s="100">
        <f t="shared" si="331"/>
        <v>898.00000000000011</v>
      </c>
      <c r="S817" s="47">
        <f>S815-S816</f>
        <v>892.90000000000009</v>
      </c>
    </row>
    <row r="819" spans="3:19" x14ac:dyDescent="0.3">
      <c r="C819" s="2" t="s">
        <v>1341</v>
      </c>
    </row>
    <row r="821" spans="3:19" x14ac:dyDescent="0.3">
      <c r="C821" t="str">
        <f>C419</f>
        <v>UK corporation Tax rate</v>
      </c>
      <c r="D821" s="88">
        <f>J419</f>
        <v>0.25</v>
      </c>
    </row>
    <row r="822" spans="3:19" x14ac:dyDescent="0.3">
      <c r="C822" t="str">
        <f>C420</f>
        <v>Reported ETR</v>
      </c>
      <c r="D822" s="88">
        <f>J420</f>
        <v>0.25</v>
      </c>
    </row>
  </sheetData>
  <mergeCells count="10">
    <mergeCell ref="C548:N548"/>
    <mergeCell ref="C257:O257"/>
    <mergeCell ref="C258:N258"/>
    <mergeCell ref="C338:N338"/>
    <mergeCell ref="C6:N6"/>
    <mergeCell ref="C91:N91"/>
    <mergeCell ref="C181:N181"/>
    <mergeCell ref="C409:N409"/>
    <mergeCell ref="C437:N437"/>
    <mergeCell ref="O409:Z40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B3AC-B352-4129-BF7B-098A8C974E60}">
  <sheetPr>
    <tabColor rgb="FF00B0F0"/>
  </sheetPr>
  <dimension ref="A1:JY388"/>
  <sheetViews>
    <sheetView showGridLines="0" workbookViewId="0">
      <selection activeCell="O10" sqref="O10"/>
    </sheetView>
  </sheetViews>
  <sheetFormatPr defaultRowHeight="14.4" x14ac:dyDescent="0.3"/>
  <cols>
    <col min="1" max="1" width="4.44140625" customWidth="1"/>
    <col min="2" max="2" width="4.88671875" customWidth="1"/>
    <col min="3" max="3" width="29.44140625" customWidth="1"/>
    <col min="4" max="4" width="14.44140625" customWidth="1"/>
    <col min="5" max="5" width="16" customWidth="1"/>
    <col min="6" max="6" width="14.109375" customWidth="1"/>
    <col min="7" max="7" width="18.21875" customWidth="1"/>
    <col min="8" max="8" width="11.44140625" customWidth="1"/>
    <col min="9" max="9" width="9.5546875" bestFit="1" customWidth="1"/>
  </cols>
  <sheetData>
    <row r="1" spans="1:32" ht="36.6" x14ac:dyDescent="0.7">
      <c r="A1" s="16"/>
      <c r="B1" s="16"/>
      <c r="C1" s="201" t="s">
        <v>1355</v>
      </c>
      <c r="D1" s="16"/>
      <c r="E1" s="16"/>
      <c r="F1" s="31"/>
      <c r="G1" s="16"/>
      <c r="H1" s="16"/>
      <c r="I1" s="31"/>
      <c r="J1" s="16"/>
      <c r="K1" s="18" t="str">
        <f>'MODEL&amp;SCHEDULE'!K1</f>
        <v xml:space="preserve"> CURRENTLY RUNNING:   BULL / BEST CASE</v>
      </c>
      <c r="L1" s="16"/>
      <c r="M1" s="31"/>
      <c r="N1" s="16"/>
      <c r="O1" s="16"/>
      <c r="P1" s="31"/>
      <c r="Q1" s="16"/>
      <c r="R1" s="16"/>
      <c r="S1" s="31"/>
      <c r="T1" s="16"/>
      <c r="U1" s="16"/>
      <c r="V1" s="16"/>
      <c r="W1" s="31"/>
      <c r="X1" s="16"/>
      <c r="Y1" s="16"/>
      <c r="Z1" s="31"/>
      <c r="AA1" s="16"/>
      <c r="AB1" s="16"/>
      <c r="AC1" s="31"/>
      <c r="AD1" s="16"/>
      <c r="AE1" s="16"/>
      <c r="AF1" s="16"/>
    </row>
    <row r="2" spans="1:32" x14ac:dyDescent="0.3">
      <c r="A2" s="16"/>
      <c r="B2" s="16"/>
      <c r="C2" s="18" t="s">
        <v>1381</v>
      </c>
      <c r="D2" s="16"/>
      <c r="E2" s="16"/>
      <c r="F2" s="16"/>
      <c r="G2" s="16"/>
      <c r="H2" s="16"/>
      <c r="I2" s="16"/>
      <c r="J2" s="16"/>
      <c r="K2" s="16"/>
      <c r="L2" s="16"/>
      <c r="M2" s="164" t="str">
        <f>'MODEL&amp;SCHEDULE'!M2</f>
        <v>NEXT PLC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6" t="str">
        <f>'MODEL&amp;SCHEDULE'!M3</f>
        <v>Bal Check:  OK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x14ac:dyDescent="0.3">
      <c r="A4" s="16"/>
      <c r="B4" s="16"/>
      <c r="C4" s="16"/>
      <c r="D4" s="16"/>
      <c r="E4" s="16"/>
      <c r="F4" s="16"/>
      <c r="G4" s="16"/>
      <c r="H4" s="16"/>
      <c r="I4" s="16"/>
      <c r="J4" s="118">
        <f>'MODEL&amp;SCHEDULE'!J4</f>
        <v>46418</v>
      </c>
      <c r="K4" s="118">
        <f>'MODEL&amp;SCHEDULE'!K4</f>
        <v>46783</v>
      </c>
      <c r="L4" s="118">
        <f>'MODEL&amp;SCHEDULE'!L4</f>
        <v>47149</v>
      </c>
      <c r="M4" s="118">
        <f>'MODEL&amp;SCHEDULE'!M4</f>
        <v>47514</v>
      </c>
      <c r="N4" s="118">
        <f>'MODEL&amp;SCHEDULE'!N4</f>
        <v>47879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x14ac:dyDescent="0.3">
      <c r="A5" s="16"/>
      <c r="B5" s="16"/>
      <c r="C5" s="16"/>
      <c r="D5" s="16"/>
      <c r="E5" s="16"/>
      <c r="F5" s="16"/>
      <c r="G5" s="16"/>
      <c r="H5" s="16"/>
      <c r="I5" s="16"/>
      <c r="J5" s="18">
        <f>'MODEL&amp;SCHEDULE'!J5</f>
        <v>2027</v>
      </c>
      <c r="K5" s="18">
        <f>'MODEL&amp;SCHEDULE'!K5</f>
        <v>2028</v>
      </c>
      <c r="L5" s="18">
        <f>'MODEL&amp;SCHEDULE'!L5</f>
        <v>2029</v>
      </c>
      <c r="M5" s="18">
        <f>'MODEL&amp;SCHEDULE'!M5</f>
        <v>2030</v>
      </c>
      <c r="N5" s="18">
        <f>'MODEL&amp;SCHEDULE'!N5</f>
        <v>2031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7" spans="1:32" x14ac:dyDescent="0.3">
      <c r="C7" s="2" t="s">
        <v>1379</v>
      </c>
      <c r="I7" s="2" t="s">
        <v>1356</v>
      </c>
      <c r="Q7" s="2" t="s">
        <v>1357</v>
      </c>
    </row>
    <row r="8" spans="1:32" x14ac:dyDescent="0.3">
      <c r="D8" s="200" t="str">
        <f>R8</f>
        <v>2027 ONLY using the Whole Revenue</v>
      </c>
      <c r="J8" s="200" t="s">
        <v>1363</v>
      </c>
      <c r="R8" s="200" t="s">
        <v>1365</v>
      </c>
    </row>
    <row r="9" spans="1:32" ht="21" x14ac:dyDescent="0.4">
      <c r="O9" s="60"/>
      <c r="U9" s="202" t="str">
        <f>L10</f>
        <v>EBIAT/NOPAT</v>
      </c>
    </row>
    <row r="10" spans="1:32" ht="21" x14ac:dyDescent="0.4">
      <c r="L10" s="202" t="str">
        <f>C92</f>
        <v>EBIAT/NOPAT</v>
      </c>
      <c r="Q10" s="2" t="s">
        <v>1361</v>
      </c>
      <c r="T10" s="2" t="s">
        <v>303</v>
      </c>
    </row>
    <row r="11" spans="1:32" x14ac:dyDescent="0.3">
      <c r="I11" s="2" t="s">
        <v>1361</v>
      </c>
      <c r="Q11">
        <f>I96*(1+J97)*(J88*(1-J90))</f>
        <v>1035.4278608518005</v>
      </c>
      <c r="R11" s="113">
        <v>0.17499999999999999</v>
      </c>
      <c r="S11" s="113">
        <v>0.18</v>
      </c>
      <c r="T11" s="113">
        <v>0.185</v>
      </c>
      <c r="U11" s="70">
        <v>0.189800106545847</v>
      </c>
      <c r="V11" s="113">
        <v>0.19</v>
      </c>
      <c r="W11" s="113">
        <v>0.19500000000000001</v>
      </c>
      <c r="X11" s="199">
        <v>0.2</v>
      </c>
    </row>
    <row r="12" spans="1:32" x14ac:dyDescent="0.3">
      <c r="I12" s="198">
        <v>0.03</v>
      </c>
      <c r="J12">
        <f>('MODEL&amp;SCHEDULE'!J$17-SENSITIVITY!I$85*SENSITIVITY!J$87+SENSITIVITY!I$85*SENSITIVITY!$I12)*(SENSITIVITY!J$88*(1-SENSITIVITY!$J$90))</f>
        <v>1028.0634434781198</v>
      </c>
      <c r="K12">
        <f>('MODEL&amp;SCHEDULE'!K$17-SENSITIVITY!J$85*SENSITIVITY!K$87+SENSITIVITY!J$85*SENSITIVITY!$I12)*(SENSITIVITY!K$88*(1-SENSITIVITY!$J$90))</f>
        <v>1104.9457094879797</v>
      </c>
      <c r="L12">
        <f>('MODEL&amp;SCHEDULE'!L$17-SENSITIVITY!K$85*SENSITIVITY!L$87+SENSITIVITY!K$85*SENSITIVITY!$I12)*(SENSITIVITY!L$88*(1-SENSITIVITY!$J$90))</f>
        <v>1199.4837265681067</v>
      </c>
      <c r="M12">
        <f>('MODEL&amp;SCHEDULE'!M$17-SENSITIVITY!L$85*SENSITIVITY!M$87+SENSITIVITY!L$85*SENSITIVITY!$I12)*(SENSITIVITY!M$88*(1-SENSITIVITY!$J$90))</f>
        <v>1325.9802137771849</v>
      </c>
      <c r="N12">
        <f>('MODEL&amp;SCHEDULE'!N$17-SENSITIVITY!M$85*SENSITIVITY!N$87+SENSITIVITY!M$85*SENSITIVITY!$I12)*(SENSITIVITY!N$88*(1-SENSITIVITY!$J$90))</f>
        <v>1456.7293783096857</v>
      </c>
      <c r="Q12" s="199">
        <v>-0.02</v>
      </c>
      <c r="R12">
        <f t="dataTable" ref="R12:X26" dt2D="1" dtr="1" r1="J88" r2="J97"/>
        <v>887.67971249999994</v>
      </c>
      <c r="S12">
        <v>913.04199000000006</v>
      </c>
      <c r="T12">
        <v>938.40426749999995</v>
      </c>
      <c r="U12">
        <v>962.75259434906764</v>
      </c>
      <c r="V12">
        <v>963.76654500000018</v>
      </c>
      <c r="W12">
        <v>989.12882249999996</v>
      </c>
      <c r="X12">
        <v>1014.4911000000002</v>
      </c>
    </row>
    <row r="13" spans="1:32" x14ac:dyDescent="0.3">
      <c r="I13" s="199">
        <v>0.04</v>
      </c>
      <c r="J13">
        <f>('MODEL&amp;SCHEDULE'!J$17-SENSITIVITY!I$85*SENSITIVITY!J$87+SENSITIVITY!I$85*SENSITIVITY!$I13)*(SENSITIVITY!J$88*(1-SENSITIVITY!$J$90))</f>
        <v>1031.7456521649601</v>
      </c>
      <c r="K13">
        <f>('MODEL&amp;SCHEDULE'!K$17-SENSITIVITY!J$85*SENSITIVITY!K$87+SENSITIVITY!J$85*SENSITIVITY!$I13)*(SENSITIVITY!K$88*(1-SENSITIVITY!$J$90))</f>
        <v>1108.8130953321768</v>
      </c>
      <c r="L13">
        <f>('MODEL&amp;SCHEDULE'!L$17-SENSITIVITY!K$85*SENSITIVITY!L$87+SENSITIVITY!K$85*SENSITIVITY!$I13)*(SENSITIVITY!L$88*(1-SENSITIVITY!$J$90))</f>
        <v>1203.738795427729</v>
      </c>
      <c r="M13">
        <f>('MODEL&amp;SCHEDULE'!M$17-SENSITIVITY!L$85*SENSITIVITY!M$87+SENSITIVITY!L$85*SENSITIVITY!$I13)*(SENSITIVITY!M$88*(1-SENSITIVITY!$J$90))</f>
        <v>1330.9346996161373</v>
      </c>
      <c r="N13">
        <f>('MODEL&amp;SCHEDULE'!N$17-SENSITIVITY!M$85*SENSITIVITY!N$87+SENSITIVITY!M$85*SENSITIVITY!$I13)*(SENSITIVITY!N$88*(1-SENSITIVITY!$J$90))</f>
        <v>1462.2805117334071</v>
      </c>
      <c r="Q13" s="199">
        <v>-0.01</v>
      </c>
      <c r="R13">
        <v>896.7376687499999</v>
      </c>
      <c r="S13">
        <v>922.35874500000011</v>
      </c>
      <c r="T13">
        <v>947.97982124999999</v>
      </c>
      <c r="U13">
        <v>972.57660041385407</v>
      </c>
      <c r="V13">
        <v>973.60089750000009</v>
      </c>
      <c r="W13">
        <v>999.22197374999996</v>
      </c>
      <c r="X13">
        <v>1024.8430500000002</v>
      </c>
    </row>
    <row r="14" spans="1:32" x14ac:dyDescent="0.3">
      <c r="I14" s="198">
        <v>0.05</v>
      </c>
      <c r="J14">
        <f>('MODEL&amp;SCHEDULE'!J$17-SENSITIVITY!I$85*SENSITIVITY!J$87+SENSITIVITY!I$85*SENSITIVITY!$I14)*(SENSITIVITY!J$88*(1-SENSITIVITY!$J$90))</f>
        <v>1035.4278608518005</v>
      </c>
      <c r="K14">
        <f>('MODEL&amp;SCHEDULE'!K$17-SENSITIVITY!J$85*SENSITIVITY!K$87+SENSITIVITY!J$85*SENSITIVITY!$I14)*(SENSITIVITY!K$88*(1-SENSITIVITY!$J$90))</f>
        <v>1112.6804811763736</v>
      </c>
      <c r="L14">
        <f>('MODEL&amp;SCHEDULE'!L$17-SENSITIVITY!K$85*SENSITIVITY!L$87+SENSITIVITY!K$85*SENSITIVITY!$I14)*(SENSITIVITY!L$88*(1-SENSITIVITY!$J$90))</f>
        <v>1207.9938642873515</v>
      </c>
      <c r="M14">
        <f>('MODEL&amp;SCHEDULE'!M$17-SENSITIVITY!L$85*SENSITIVITY!M$87+SENSITIVITY!L$85*SENSITIVITY!$I14)*(SENSITIVITY!M$88*(1-SENSITIVITY!$J$90))</f>
        <v>1335.8891854550898</v>
      </c>
      <c r="N14">
        <f>('MODEL&amp;SCHEDULE'!N$17-SENSITIVITY!M$85*SENSITIVITY!N$87+SENSITIVITY!M$85*SENSITIVITY!$I14)*(SENSITIVITY!N$88*(1-SENSITIVITY!$J$90))</f>
        <v>1467.8316451571286</v>
      </c>
      <c r="Q14" s="198">
        <v>0</v>
      </c>
      <c r="R14">
        <v>905.79562499999986</v>
      </c>
      <c r="S14">
        <v>931.67550000000006</v>
      </c>
      <c r="T14">
        <v>957.55537499999991</v>
      </c>
      <c r="U14">
        <v>982.4006064786405</v>
      </c>
      <c r="V14">
        <v>983.43525000000011</v>
      </c>
      <c r="W14">
        <v>1009.315125</v>
      </c>
      <c r="X14">
        <v>1035.1950000000002</v>
      </c>
    </row>
    <row r="15" spans="1:32" x14ac:dyDescent="0.3">
      <c r="I15" s="199">
        <v>0.06</v>
      </c>
      <c r="J15">
        <f>('MODEL&amp;SCHEDULE'!J$17-SENSITIVITY!I$85*SENSITIVITY!J$87+SENSITIVITY!I$85*SENSITIVITY!$I15)*(SENSITIVITY!J$88*(1-SENSITIVITY!$J$90))</f>
        <v>1039.1100695386408</v>
      </c>
      <c r="K15">
        <f>('MODEL&amp;SCHEDULE'!K$17-SENSITIVITY!J$85*SENSITIVITY!K$87+SENSITIVITY!J$85*SENSITIVITY!$I15)*(SENSITIVITY!K$88*(1-SENSITIVITY!$J$90))</f>
        <v>1116.5478670205705</v>
      </c>
      <c r="L15">
        <f>('MODEL&amp;SCHEDULE'!L$17-SENSITIVITY!K$85*SENSITIVITY!L$87+SENSITIVITY!K$85*SENSITIVITY!$I15)*(SENSITIVITY!L$88*(1-SENSITIVITY!$J$90))</f>
        <v>1212.248933146974</v>
      </c>
      <c r="M15">
        <f>('MODEL&amp;SCHEDULE'!M$17-SENSITIVITY!L$85*SENSITIVITY!M$87+SENSITIVITY!L$85*SENSITIVITY!$I15)*(SENSITIVITY!M$88*(1-SENSITIVITY!$J$90))</f>
        <v>1340.8436712940422</v>
      </c>
      <c r="N15">
        <f>('MODEL&amp;SCHEDULE'!N$17-SENSITIVITY!M$85*SENSITIVITY!N$87+SENSITIVITY!M$85*SENSITIVITY!$I15)*(SENSITIVITY!N$88*(1-SENSITIVITY!$J$90))</f>
        <v>1473.3827785808501</v>
      </c>
      <c r="Q15" s="199">
        <v>0.01</v>
      </c>
      <c r="R15">
        <v>914.85358124999982</v>
      </c>
      <c r="S15">
        <v>940.99225500000011</v>
      </c>
      <c r="T15">
        <v>967.13092874999995</v>
      </c>
      <c r="U15">
        <v>992.22461254342682</v>
      </c>
      <c r="V15">
        <v>993.26960250000013</v>
      </c>
      <c r="W15">
        <v>1019.40827625</v>
      </c>
      <c r="X15">
        <v>1045.5469500000002</v>
      </c>
    </row>
    <row r="16" spans="1:32" x14ac:dyDescent="0.3">
      <c r="I16" s="198">
        <v>7.0000000000000007E-2</v>
      </c>
      <c r="J16">
        <f>('MODEL&amp;SCHEDULE'!J$17-SENSITIVITY!I$85*SENSITIVITY!J$87+SENSITIVITY!I$85*SENSITIVITY!$I16)*(SENSITIVITY!J$88*(1-SENSITIVITY!$J$90))</f>
        <v>1042.7922782254814</v>
      </c>
      <c r="K16">
        <f>('MODEL&amp;SCHEDULE'!K$17-SENSITIVITY!J$85*SENSITIVITY!K$87+SENSITIVITY!J$85*SENSITIVITY!$I16)*(SENSITIVITY!K$88*(1-SENSITIVITY!$J$90))</f>
        <v>1120.4152528647674</v>
      </c>
      <c r="L16">
        <f>('MODEL&amp;SCHEDULE'!L$17-SENSITIVITY!K$85*SENSITIVITY!L$87+SENSITIVITY!K$85*SENSITIVITY!$I16)*(SENSITIVITY!L$88*(1-SENSITIVITY!$J$90))</f>
        <v>1216.5040020065965</v>
      </c>
      <c r="M16">
        <f>('MODEL&amp;SCHEDULE'!M$17-SENSITIVITY!L$85*SENSITIVITY!M$87+SENSITIVITY!L$85*SENSITIVITY!$I16)*(SENSITIVITY!M$88*(1-SENSITIVITY!$J$90))</f>
        <v>1345.7981571329947</v>
      </c>
      <c r="N16">
        <f>('MODEL&amp;SCHEDULE'!N$17-SENSITIVITY!M$85*SENSITIVITY!N$87+SENSITIVITY!M$85*SENSITIVITY!$I16)*(SENSITIVITY!N$88*(1-SENSITIVITY!$J$90))</f>
        <v>1478.9339120045718</v>
      </c>
      <c r="Q16" s="198">
        <v>0.02</v>
      </c>
      <c r="R16">
        <v>923.91153749999989</v>
      </c>
      <c r="S16">
        <v>950.30901000000006</v>
      </c>
      <c r="T16">
        <v>976.70648249999988</v>
      </c>
      <c r="U16">
        <v>1002.0486186082132</v>
      </c>
      <c r="V16">
        <v>1003.1039550000002</v>
      </c>
      <c r="W16">
        <v>1029.5014274999999</v>
      </c>
      <c r="X16">
        <v>1055.8989000000001</v>
      </c>
    </row>
    <row r="17" spans="9:24" x14ac:dyDescent="0.3">
      <c r="I17" s="199">
        <v>0.08</v>
      </c>
      <c r="J17">
        <f>('MODEL&amp;SCHEDULE'!J$17-SENSITIVITY!I$85*SENSITIVITY!J$87+SENSITIVITY!I$85*SENSITIVITY!$I17)*(SENSITIVITY!J$88*(1-SENSITIVITY!$J$90))</f>
        <v>1046.4744869123217</v>
      </c>
      <c r="K17">
        <f>('MODEL&amp;SCHEDULE'!K$17-SENSITIVITY!J$85*SENSITIVITY!K$87+SENSITIVITY!J$85*SENSITIVITY!$I17)*(SENSITIVITY!K$88*(1-SENSITIVITY!$J$90))</f>
        <v>1124.2826387089642</v>
      </c>
      <c r="L17">
        <f>('MODEL&amp;SCHEDULE'!L$17-SENSITIVITY!K$85*SENSITIVITY!L$87+SENSITIVITY!K$85*SENSITIVITY!$I17)*(SENSITIVITY!L$88*(1-SENSITIVITY!$J$90))</f>
        <v>1220.759070866219</v>
      </c>
      <c r="M17">
        <f>('MODEL&amp;SCHEDULE'!M$17-SENSITIVITY!L$85*SENSITIVITY!M$87+SENSITIVITY!L$85*SENSITIVITY!$I17)*(SENSITIVITY!M$88*(1-SENSITIVITY!$J$90))</f>
        <v>1350.7526429719474</v>
      </c>
      <c r="N17">
        <f>('MODEL&amp;SCHEDULE'!N$17-SENSITIVITY!M$85*SENSITIVITY!N$87+SENSITIVITY!M$85*SENSITIVITY!$I17)*(SENSITIVITY!N$88*(1-SENSITIVITY!$J$90))</f>
        <v>1484.4850454282932</v>
      </c>
      <c r="Q17" s="199">
        <v>0.03</v>
      </c>
      <c r="R17">
        <v>932.96949374999986</v>
      </c>
      <c r="S17">
        <v>959.625765</v>
      </c>
      <c r="T17">
        <v>986.28203624999992</v>
      </c>
      <c r="U17">
        <v>1011.8726246729997</v>
      </c>
      <c r="V17">
        <v>1012.9383075000001</v>
      </c>
      <c r="W17">
        <v>1039.59457875</v>
      </c>
      <c r="X17">
        <v>1066.2508500000001</v>
      </c>
    </row>
    <row r="18" spans="9:24" x14ac:dyDescent="0.3">
      <c r="I18" s="198">
        <v>0.09</v>
      </c>
      <c r="J18">
        <f>('MODEL&amp;SCHEDULE'!J$17-SENSITIVITY!I$85*SENSITIVITY!J$87+SENSITIVITY!I$85*SENSITIVITY!$I18)*(SENSITIVITY!J$88*(1-SENSITIVITY!$J$90))</f>
        <v>1050.156695599162</v>
      </c>
      <c r="K18">
        <f>('MODEL&amp;SCHEDULE'!K$17-SENSITIVITY!J$85*SENSITIVITY!K$87+SENSITIVITY!J$85*SENSITIVITY!$I18)*(SENSITIVITY!K$88*(1-SENSITIVITY!$J$90))</f>
        <v>1128.1500245531611</v>
      </c>
      <c r="L18">
        <f>('MODEL&amp;SCHEDULE'!L$17-SENSITIVITY!K$85*SENSITIVITY!L$87+SENSITIVITY!K$85*SENSITIVITY!$I18)*(SENSITIVITY!L$88*(1-SENSITIVITY!$J$90))</f>
        <v>1225.0141397258415</v>
      </c>
      <c r="M18">
        <f>('MODEL&amp;SCHEDULE'!M$17-SENSITIVITY!L$85*SENSITIVITY!M$87+SENSITIVITY!L$85*SENSITIVITY!$I18)*(SENSITIVITY!M$88*(1-SENSITIVITY!$J$90))</f>
        <v>1355.7071288108998</v>
      </c>
      <c r="N18">
        <f>('MODEL&amp;SCHEDULE'!N$17-SENSITIVITY!M$85*SENSITIVITY!N$87+SENSITIVITY!M$85*SENSITIVITY!$I18)*(SENSITIVITY!N$88*(1-SENSITIVITY!$J$90))</f>
        <v>1490.0361788520147</v>
      </c>
      <c r="Q18" s="198">
        <v>0.04</v>
      </c>
      <c r="R18">
        <v>942.02744999999993</v>
      </c>
      <c r="S18">
        <v>968.94252000000017</v>
      </c>
      <c r="T18">
        <v>995.85758999999996</v>
      </c>
      <c r="U18">
        <v>1021.6966307377862</v>
      </c>
      <c r="V18">
        <v>1022.7726600000002</v>
      </c>
      <c r="W18">
        <v>1049.6877300000001</v>
      </c>
      <c r="X18">
        <v>1076.6028000000003</v>
      </c>
    </row>
    <row r="19" spans="9:24" x14ac:dyDescent="0.3">
      <c r="I19" s="199">
        <v>0.1</v>
      </c>
      <c r="J19">
        <f>('MODEL&amp;SCHEDULE'!J$17-SENSITIVITY!I$85*SENSITIVITY!J$87+SENSITIVITY!I$85*SENSITIVITY!$I19)*(SENSITIVITY!J$88*(1-SENSITIVITY!$J$90))</f>
        <v>1053.8389042860024</v>
      </c>
      <c r="K19">
        <f>('MODEL&amp;SCHEDULE'!K$17-SENSITIVITY!J$85*SENSITIVITY!K$87+SENSITIVITY!J$85*SENSITIVITY!$I19)*(SENSITIVITY!K$88*(1-SENSITIVITY!$J$90))</f>
        <v>1132.0174103973582</v>
      </c>
      <c r="L19">
        <f>('MODEL&amp;SCHEDULE'!L$17-SENSITIVITY!K$85*SENSITIVITY!L$87+SENSITIVITY!K$85*SENSITIVITY!$I19)*(SENSITIVITY!L$88*(1-SENSITIVITY!$J$90))</f>
        <v>1229.2692085854637</v>
      </c>
      <c r="M19">
        <f>('MODEL&amp;SCHEDULE'!M$17-SENSITIVITY!L$85*SENSITIVITY!M$87+SENSITIVITY!L$85*SENSITIVITY!$I19)*(SENSITIVITY!M$88*(1-SENSITIVITY!$J$90))</f>
        <v>1360.6616146498523</v>
      </c>
      <c r="N19">
        <f>('MODEL&amp;SCHEDULE'!N$17-SENSITIVITY!M$85*SENSITIVITY!N$87+SENSITIVITY!M$85*SENSITIVITY!$I19)*(SENSITIVITY!N$88*(1-SENSITIVITY!$J$90))</f>
        <v>1495.5873122757362</v>
      </c>
      <c r="Q19" s="199">
        <v>0.05</v>
      </c>
      <c r="R19">
        <v>951.08540624999989</v>
      </c>
      <c r="S19">
        <v>978.25927500000012</v>
      </c>
      <c r="T19">
        <v>1005.43314375</v>
      </c>
      <c r="U19">
        <v>1031.5206368025727</v>
      </c>
      <c r="V19">
        <v>1032.6070125000001</v>
      </c>
      <c r="W19">
        <v>1059.78088125</v>
      </c>
      <c r="X19">
        <v>1086.9547500000003</v>
      </c>
    </row>
    <row r="20" spans="9:24" x14ac:dyDescent="0.3">
      <c r="I20" s="198">
        <v>0.11</v>
      </c>
      <c r="J20">
        <f>('MODEL&amp;SCHEDULE'!J$17-SENSITIVITY!I$85*SENSITIVITY!J$87+SENSITIVITY!I$85*SENSITIVITY!$I20)*(SENSITIVITY!J$88*(1-SENSITIVITY!$J$90))</f>
        <v>1057.5211129728427</v>
      </c>
      <c r="K20">
        <f>('MODEL&amp;SCHEDULE'!K$17-SENSITIVITY!J$85*SENSITIVITY!K$87+SENSITIVITY!J$85*SENSITIVITY!$I20)*(SENSITIVITY!K$88*(1-SENSITIVITY!$J$90))</f>
        <v>1135.884796241555</v>
      </c>
      <c r="L20">
        <f>('MODEL&amp;SCHEDULE'!L$17-SENSITIVITY!K$85*SENSITIVITY!L$87+SENSITIVITY!K$85*SENSITIVITY!$I20)*(SENSITIVITY!L$88*(1-SENSITIVITY!$J$90))</f>
        <v>1233.5242774450865</v>
      </c>
      <c r="M20">
        <f>('MODEL&amp;SCHEDULE'!M$17-SENSITIVITY!L$85*SENSITIVITY!M$87+SENSITIVITY!L$85*SENSITIVITY!$I20)*(SENSITIVITY!M$88*(1-SENSITIVITY!$J$90))</f>
        <v>1365.6161004888047</v>
      </c>
      <c r="N20">
        <f>('MODEL&amp;SCHEDULE'!N$17-SENSITIVITY!M$85*SENSITIVITY!N$87+SENSITIVITY!M$85*SENSITIVITY!$I20)*(SENSITIVITY!N$88*(1-SENSITIVITY!$J$90))</f>
        <v>1501.1384456994579</v>
      </c>
      <c r="Q20" s="198">
        <v>0.06</v>
      </c>
      <c r="R20">
        <v>960.14336249999997</v>
      </c>
      <c r="S20">
        <v>987.57603000000017</v>
      </c>
      <c r="T20">
        <v>1015.0086974999999</v>
      </c>
      <c r="U20">
        <v>1041.344642867359</v>
      </c>
      <c r="V20">
        <v>1042.4413650000001</v>
      </c>
      <c r="W20">
        <v>1069.8740325000001</v>
      </c>
      <c r="X20">
        <v>1097.3067000000003</v>
      </c>
    </row>
    <row r="21" spans="9:24" x14ac:dyDescent="0.3">
      <c r="I21" s="199">
        <v>0.12</v>
      </c>
      <c r="J21">
        <f>('MODEL&amp;SCHEDULE'!J$17-SENSITIVITY!I$85*SENSITIVITY!J$87+SENSITIVITY!I$85*SENSITIVITY!$I21)*(SENSITIVITY!J$88*(1-SENSITIVITY!$J$90))</f>
        <v>1061.2033216596833</v>
      </c>
      <c r="K21">
        <f>('MODEL&amp;SCHEDULE'!K$17-SENSITIVITY!J$85*SENSITIVITY!K$87+SENSITIVITY!J$85*SENSITIVITY!$I21)*(SENSITIVITY!K$88*(1-SENSITIVITY!$J$90))</f>
        <v>1139.7521820857519</v>
      </c>
      <c r="L21">
        <f>('MODEL&amp;SCHEDULE'!L$17-SENSITIVITY!K$85*SENSITIVITY!L$87+SENSITIVITY!K$85*SENSITIVITY!$I21)*(SENSITIVITY!L$88*(1-SENSITIVITY!$J$90))</f>
        <v>1237.7793463047087</v>
      </c>
      <c r="M21">
        <f>('MODEL&amp;SCHEDULE'!M$17-SENSITIVITY!L$85*SENSITIVITY!M$87+SENSITIVITY!L$85*SENSITIVITY!$I21)*(SENSITIVITY!M$88*(1-SENSITIVITY!$J$90))</f>
        <v>1370.5705863277572</v>
      </c>
      <c r="N21">
        <f>('MODEL&amp;SCHEDULE'!N$17-SENSITIVITY!M$85*SENSITIVITY!N$87+SENSITIVITY!M$85*SENSITIVITY!$I21)*(SENSITIVITY!N$88*(1-SENSITIVITY!$J$90))</f>
        <v>1506.6895791231793</v>
      </c>
      <c r="Q21" s="199">
        <v>7.0000000000000007E-2</v>
      </c>
      <c r="R21">
        <v>969.20131874999993</v>
      </c>
      <c r="S21">
        <v>996.89278500000012</v>
      </c>
      <c r="T21">
        <v>1024.5842512499999</v>
      </c>
      <c r="U21">
        <v>1051.1686489321453</v>
      </c>
      <c r="V21">
        <v>1052.2757175000002</v>
      </c>
      <c r="W21">
        <v>1079.96718375</v>
      </c>
      <c r="X21">
        <v>1107.6586500000003</v>
      </c>
    </row>
    <row r="22" spans="9:24" x14ac:dyDescent="0.3">
      <c r="I22" s="198">
        <v>0.13</v>
      </c>
      <c r="J22">
        <f>('MODEL&amp;SCHEDULE'!J$17-SENSITIVITY!I$85*SENSITIVITY!J$87+SENSITIVITY!I$85*SENSITIVITY!$I22)*(SENSITIVITY!J$88*(1-SENSITIVITY!$J$90))</f>
        <v>1064.8855303465236</v>
      </c>
      <c r="K22">
        <f>('MODEL&amp;SCHEDULE'!K$17-SENSITIVITY!J$85*SENSITIVITY!K$87+SENSITIVITY!J$85*SENSITIVITY!$I22)*(SENSITIVITY!K$88*(1-SENSITIVITY!$J$90))</f>
        <v>1143.619567929949</v>
      </c>
      <c r="L22">
        <f>('MODEL&amp;SCHEDULE'!L$17-SENSITIVITY!K$85*SENSITIVITY!L$87+SENSITIVITY!K$85*SENSITIVITY!$I22)*(SENSITIVITY!L$88*(1-SENSITIVITY!$J$90))</f>
        <v>1242.0344151643314</v>
      </c>
      <c r="M22">
        <f>('MODEL&amp;SCHEDULE'!M$17-SENSITIVITY!L$85*SENSITIVITY!M$87+SENSITIVITY!L$85*SENSITIVITY!$I22)*(SENSITIVITY!M$88*(1-SENSITIVITY!$J$90))</f>
        <v>1375.5250721667098</v>
      </c>
      <c r="N22">
        <f>('MODEL&amp;SCHEDULE'!N$17-SENSITIVITY!M$85*SENSITIVITY!N$87+SENSITIVITY!M$85*SENSITIVITY!$I22)*(SENSITIVITY!N$88*(1-SENSITIVITY!$J$90))</f>
        <v>1512.2407125469008</v>
      </c>
      <c r="Q22" s="198">
        <v>0.08</v>
      </c>
      <c r="R22">
        <v>978.25927499999989</v>
      </c>
      <c r="S22">
        <v>1006.2095400000002</v>
      </c>
      <c r="T22">
        <v>1034.159805</v>
      </c>
      <c r="U22">
        <v>1060.9926549969318</v>
      </c>
      <c r="V22">
        <v>1062.1100700000002</v>
      </c>
      <c r="W22">
        <v>1090.0603349999999</v>
      </c>
      <c r="X22">
        <v>1118.0106000000003</v>
      </c>
    </row>
    <row r="23" spans="9:24" x14ac:dyDescent="0.3">
      <c r="I23" s="199">
        <v>0.14000000000000001</v>
      </c>
      <c r="J23">
        <f>('MODEL&amp;SCHEDULE'!J$17-SENSITIVITY!I$85*SENSITIVITY!J$87+SENSITIVITY!I$85*SENSITIVITY!$I23)*(SENSITIVITY!J$88*(1-SENSITIVITY!$J$90))</f>
        <v>1068.567739033364</v>
      </c>
      <c r="K23">
        <f>('MODEL&amp;SCHEDULE'!K$17-SENSITIVITY!J$85*SENSITIVITY!K$87+SENSITIVITY!J$85*SENSITIVITY!$I23)*(SENSITIVITY!K$88*(1-SENSITIVITY!$J$90))</f>
        <v>1147.4869537741458</v>
      </c>
      <c r="L23">
        <f>('MODEL&amp;SCHEDULE'!L$17-SENSITIVITY!K$85*SENSITIVITY!L$87+SENSITIVITY!K$85*SENSITIVITY!$I23)*(SENSITIVITY!L$88*(1-SENSITIVITY!$J$90))</f>
        <v>1246.2894840239537</v>
      </c>
      <c r="M23">
        <f>('MODEL&amp;SCHEDULE'!M$17-SENSITIVITY!L$85*SENSITIVITY!M$87+SENSITIVITY!L$85*SENSITIVITY!$I23)*(SENSITIVITY!M$88*(1-SENSITIVITY!$J$90))</f>
        <v>1380.4795580056623</v>
      </c>
      <c r="N23">
        <f>('MODEL&amp;SCHEDULE'!N$17-SENSITIVITY!M$85*SENSITIVITY!N$87+SENSITIVITY!M$85*SENSITIVITY!$I23)*(SENSITIVITY!N$88*(1-SENSITIVITY!$J$90))</f>
        <v>1517.7918459706227</v>
      </c>
      <c r="Q23" s="199">
        <v>0.09</v>
      </c>
      <c r="R23">
        <v>987.31723124999985</v>
      </c>
      <c r="S23">
        <v>1015.5262950000001</v>
      </c>
      <c r="T23">
        <v>1043.7353587499999</v>
      </c>
      <c r="U23">
        <v>1070.8166610617182</v>
      </c>
      <c r="V23">
        <v>1071.9444225000002</v>
      </c>
      <c r="W23">
        <v>1100.15348625</v>
      </c>
      <c r="X23">
        <v>1128.3625500000003</v>
      </c>
    </row>
    <row r="24" spans="9:24" x14ac:dyDescent="0.3">
      <c r="I24" s="198">
        <v>0.15</v>
      </c>
      <c r="J24">
        <f>('MODEL&amp;SCHEDULE'!J$17-SENSITIVITY!I$85*SENSITIVITY!J$87+SENSITIVITY!I$85*SENSITIVITY!$I24)*(SENSITIVITY!J$88*(1-SENSITIVITY!$J$90))</f>
        <v>1072.2499477202045</v>
      </c>
      <c r="K24">
        <f>('MODEL&amp;SCHEDULE'!K$17-SENSITIVITY!J$85*SENSITIVITY!K$87+SENSITIVITY!J$85*SENSITIVITY!$I24)*(SENSITIVITY!K$88*(1-SENSITIVITY!$J$90))</f>
        <v>1151.3543396183427</v>
      </c>
      <c r="L24">
        <f>('MODEL&amp;SCHEDULE'!L$17-SENSITIVITY!K$85*SENSITIVITY!L$87+SENSITIVITY!K$85*SENSITIVITY!$I24)*(SENSITIVITY!L$88*(1-SENSITIVITY!$J$90))</f>
        <v>1250.5445528835764</v>
      </c>
      <c r="M24">
        <f>('MODEL&amp;SCHEDULE'!M$17-SENSITIVITY!L$85*SENSITIVITY!M$87+SENSITIVITY!L$85*SENSITIVITY!$I24)*(SENSITIVITY!M$88*(1-SENSITIVITY!$J$90))</f>
        <v>1385.4340438446147</v>
      </c>
      <c r="N24">
        <f>('MODEL&amp;SCHEDULE'!N$17-SENSITIVITY!M$85*SENSITIVITY!N$87+SENSITIVITY!M$85*SENSITIVITY!$I24)*(SENSITIVITY!N$88*(1-SENSITIVITY!$J$90))</f>
        <v>1523.3429793943442</v>
      </c>
      <c r="Q24" s="198">
        <v>0.1</v>
      </c>
      <c r="R24">
        <v>996.37518750000004</v>
      </c>
      <c r="S24">
        <v>1024.8430500000002</v>
      </c>
      <c r="T24">
        <v>1053.3109125000001</v>
      </c>
      <c r="U24">
        <v>1080.6406671265047</v>
      </c>
      <c r="V24">
        <v>1081.7787750000002</v>
      </c>
      <c r="W24">
        <v>1110.2466375000001</v>
      </c>
      <c r="X24">
        <v>1138.7145000000003</v>
      </c>
    </row>
    <row r="25" spans="9:24" x14ac:dyDescent="0.3">
      <c r="I25" s="199">
        <v>0.16</v>
      </c>
      <c r="J25">
        <f>('MODEL&amp;SCHEDULE'!J$17-SENSITIVITY!I$85*SENSITIVITY!J$87+SENSITIVITY!I$85*SENSITIVITY!$I25)*(SENSITIVITY!J$88*(1-SENSITIVITY!$J$90))</f>
        <v>1075.9321564070449</v>
      </c>
      <c r="K25">
        <f>('MODEL&amp;SCHEDULE'!K$17-SENSITIVITY!J$85*SENSITIVITY!K$87+SENSITIVITY!J$85*SENSITIVITY!$I25)*(SENSITIVITY!K$88*(1-SENSITIVITY!$J$90))</f>
        <v>1155.2217254625396</v>
      </c>
      <c r="L25">
        <f>('MODEL&amp;SCHEDULE'!L$17-SENSITIVITY!K$85*SENSITIVITY!L$87+SENSITIVITY!K$85*SENSITIVITY!$I25)*(SENSITIVITY!L$88*(1-SENSITIVITY!$J$90))</f>
        <v>1254.7996217431987</v>
      </c>
      <c r="M25">
        <f>('MODEL&amp;SCHEDULE'!M$17-SENSITIVITY!L$85*SENSITIVITY!M$87+SENSITIVITY!L$85*SENSITIVITY!$I25)*(SENSITIVITY!M$88*(1-SENSITIVITY!$J$90))</f>
        <v>1390.3885296835672</v>
      </c>
      <c r="N25">
        <f>('MODEL&amp;SCHEDULE'!N$17-SENSITIVITY!M$85*SENSITIVITY!N$87+SENSITIVITY!M$85*SENSITIVITY!$I25)*(SENSITIVITY!N$88*(1-SENSITIVITY!$J$90))</f>
        <v>1528.8941128180657</v>
      </c>
      <c r="Q25" s="199">
        <v>0.11</v>
      </c>
      <c r="R25">
        <v>1005.43314375</v>
      </c>
      <c r="S25">
        <v>1034.1598050000002</v>
      </c>
      <c r="T25">
        <v>1062.88646625</v>
      </c>
      <c r="U25">
        <v>1090.464673191291</v>
      </c>
      <c r="V25">
        <v>1091.6131275000002</v>
      </c>
      <c r="W25">
        <v>1120.33978875</v>
      </c>
      <c r="X25">
        <v>1149.0664500000003</v>
      </c>
    </row>
    <row r="26" spans="9:24" x14ac:dyDescent="0.3">
      <c r="I26" s="198">
        <v>0.17</v>
      </c>
      <c r="J26">
        <f>('MODEL&amp;SCHEDULE'!J$17-SENSITIVITY!I$85*SENSITIVITY!J$87+SENSITIVITY!I$85*SENSITIVITY!$I26)*(SENSITIVITY!J$88*(1-SENSITIVITY!$J$90))</f>
        <v>1079.6143650938852</v>
      </c>
      <c r="K26">
        <f>('MODEL&amp;SCHEDULE'!K$17-SENSITIVITY!J$85*SENSITIVITY!K$87+SENSITIVITY!J$85*SENSITIVITY!$I26)*(SENSITIVITY!K$88*(1-SENSITIVITY!$J$90))</f>
        <v>1159.0891113067366</v>
      </c>
      <c r="L26">
        <f>('MODEL&amp;SCHEDULE'!L$17-SENSITIVITY!K$85*SENSITIVITY!L$87+SENSITIVITY!K$85*SENSITIVITY!$I26)*(SENSITIVITY!L$88*(1-SENSITIVITY!$J$90))</f>
        <v>1259.0546906028212</v>
      </c>
      <c r="M26">
        <f>('MODEL&amp;SCHEDULE'!M$17-SENSITIVITY!L$85*SENSITIVITY!M$87+SENSITIVITY!L$85*SENSITIVITY!$I26)*(SENSITIVITY!M$88*(1-SENSITIVITY!$J$90))</f>
        <v>1395.3430155225199</v>
      </c>
      <c r="N26">
        <f>('MODEL&amp;SCHEDULE'!N$17-SENSITIVITY!M$85*SENSITIVITY!N$87+SENSITIVITY!M$85*SENSITIVITY!$I26)*(SENSITIVITY!N$88*(1-SENSITIVITY!$J$90))</f>
        <v>1534.4452462417871</v>
      </c>
      <c r="Q26" s="198">
        <v>0.12</v>
      </c>
      <c r="R26">
        <v>1014.4911</v>
      </c>
      <c r="S26">
        <v>1043.4765600000003</v>
      </c>
      <c r="T26">
        <v>1072.4620199999999</v>
      </c>
      <c r="U26">
        <v>1100.2886792560773</v>
      </c>
      <c r="V26">
        <v>1101.4474800000003</v>
      </c>
      <c r="W26">
        <v>1130.4329400000001</v>
      </c>
      <c r="X26">
        <v>1159.4184000000002</v>
      </c>
    </row>
    <row r="49" spans="2:9" x14ac:dyDescent="0.3">
      <c r="I49" s="199"/>
    </row>
    <row r="50" spans="2:9" x14ac:dyDescent="0.3">
      <c r="I50" s="198"/>
    </row>
    <row r="51" spans="2:9" s="127" customFormat="1" ht="15" thickBot="1" x14ac:dyDescent="0.35"/>
    <row r="52" spans="2:9" x14ac:dyDescent="0.3">
      <c r="B52" s="2" t="s">
        <v>1358</v>
      </c>
    </row>
    <row r="53" spans="2:9" x14ac:dyDescent="0.3">
      <c r="C53" s="2" t="s">
        <v>1366</v>
      </c>
      <c r="D53" s="2" t="s">
        <v>1369</v>
      </c>
      <c r="E53" s="2" t="s">
        <v>1374</v>
      </c>
      <c r="F53" s="2" t="s">
        <v>1370</v>
      </c>
      <c r="G53" s="2" t="s">
        <v>1377</v>
      </c>
      <c r="H53" s="2" t="s">
        <v>1378</v>
      </c>
      <c r="I53" s="2" t="s">
        <v>1150</v>
      </c>
    </row>
    <row r="54" spans="2:9" x14ac:dyDescent="0.3">
      <c r="C54" t="str">
        <f>C97</f>
        <v>Revenue Growth</v>
      </c>
      <c r="D54" s="11">
        <v>0.08</v>
      </c>
      <c r="E54" s="10">
        <f>J97</f>
        <v>5.4251228029501775E-2</v>
      </c>
      <c r="F54" s="11">
        <v>-0.04</v>
      </c>
    </row>
    <row r="55" spans="2:9" x14ac:dyDescent="0.3">
      <c r="C55" t="str">
        <f>C88</f>
        <v>EBIT margin</v>
      </c>
      <c r="D55" s="11">
        <v>0.21066820935532379</v>
      </c>
      <c r="E55" s="10">
        <f>J88</f>
        <v>0.18975077616347968</v>
      </c>
      <c r="F55" s="10">
        <v>0.17066820935532387</v>
      </c>
    </row>
    <row r="56" spans="2:9" x14ac:dyDescent="0.3">
      <c r="C56" t="str">
        <f>C89</f>
        <v>Cost of sales as a % of revenue</v>
      </c>
      <c r="D56" s="11">
        <v>0.54</v>
      </c>
      <c r="E56" s="90">
        <f>J89</f>
        <v>0.56086810280947685</v>
      </c>
      <c r="F56" s="11">
        <v>0.57999999999999996</v>
      </c>
    </row>
    <row r="57" spans="2:9" x14ac:dyDescent="0.3">
      <c r="C57" t="str">
        <f>C90</f>
        <v>Reported ETR</v>
      </c>
      <c r="D57" s="11">
        <v>0.24</v>
      </c>
      <c r="E57" s="90">
        <f>J90</f>
        <v>0.25</v>
      </c>
      <c r="F57" s="11">
        <v>0.26</v>
      </c>
    </row>
    <row r="58" spans="2:9" x14ac:dyDescent="0.3">
      <c r="C58" t="s">
        <v>1371</v>
      </c>
      <c r="D58" s="90">
        <f>(1-D$56-$J$99)</f>
        <v>0.2106188789729565</v>
      </c>
      <c r="E58" s="10">
        <f>(1-E$56-$J$99)</f>
        <v>0.18975077616347968</v>
      </c>
      <c r="F58" s="90">
        <f>(1-F$56-$J$99)</f>
        <v>0.17061887897295658</v>
      </c>
    </row>
    <row r="59" spans="2:9" x14ac:dyDescent="0.3">
      <c r="C59" s="2" t="s">
        <v>1368</v>
      </c>
      <c r="E59">
        <f>$I$96*(1+E54)*($E$55*(1-E57))</f>
        <v>1035.4278608518005</v>
      </c>
    </row>
    <row r="60" spans="2:9" x14ac:dyDescent="0.3">
      <c r="C60" t="s">
        <v>1315</v>
      </c>
      <c r="D60" s="99">
        <f>$I$96*(1+D$54)*($E$55*(1-$E$57))</f>
        <v>1060.7168955449881</v>
      </c>
      <c r="E60" s="99"/>
      <c r="F60" s="99">
        <f>$I$96*(1+F$54)*($E$55*(1-$E$57))</f>
        <v>942.85946270665602</v>
      </c>
      <c r="G60" s="99">
        <f>F60-$E$59</f>
        <v>-92.568398145144442</v>
      </c>
      <c r="H60" s="99">
        <f>D60-$E$59</f>
        <v>25.289034693187659</v>
      </c>
      <c r="I60" s="99">
        <f>H60-G60</f>
        <v>117.8574328383321</v>
      </c>
    </row>
    <row r="61" spans="2:9" x14ac:dyDescent="0.3">
      <c r="C61" t="str">
        <f>C55</f>
        <v>EBIT margin</v>
      </c>
      <c r="D61" s="99">
        <f>$I$96*(1+$E$54)*(D$55*(1-$E$57))</f>
        <v>1149.5696501095251</v>
      </c>
      <c r="E61" s="99"/>
      <c r="F61" s="99">
        <f>$I$96*(1+$E$54)*(F$55*(1-$E$57))</f>
        <v>931.29853010952547</v>
      </c>
      <c r="G61" s="99">
        <f t="shared" ref="G61:G63" si="0">F61-$E$59</f>
        <v>-104.12933074227499</v>
      </c>
      <c r="H61" s="99">
        <f t="shared" ref="H61:H63" si="1">D61-$E$59</f>
        <v>114.14178925772467</v>
      </c>
      <c r="I61" s="99">
        <f t="shared" ref="I61:I63" si="2">H61-G61</f>
        <v>218.27111999999966</v>
      </c>
    </row>
    <row r="62" spans="2:9" x14ac:dyDescent="0.3">
      <c r="C62" t="str">
        <f>C56</f>
        <v>Cost of sales as a % of revenue</v>
      </c>
      <c r="D62" s="99">
        <f>$I$96*(1+$E$54)*(D$58*(1-$E$57))</f>
        <v>1149.3004651642918</v>
      </c>
      <c r="E62" s="99"/>
      <c r="F62" s="99">
        <f>$I$96*(1+$E$54)*(F$58*(1-$E$57))</f>
        <v>931.02934516429218</v>
      </c>
      <c r="G62" s="99">
        <f t="shared" si="0"/>
        <v>-104.39851568750828</v>
      </c>
      <c r="H62" s="99">
        <f t="shared" si="1"/>
        <v>113.87260431249138</v>
      </c>
      <c r="I62" s="99">
        <f t="shared" si="2"/>
        <v>218.27111999999966</v>
      </c>
    </row>
    <row r="63" spans="2:9" x14ac:dyDescent="0.3">
      <c r="C63" t="str">
        <f>C57</f>
        <v>Reported ETR</v>
      </c>
      <c r="D63" s="99">
        <f>$I$96*(1+$E$54)*($E$55*(1-D$57))</f>
        <v>1049.2335656631578</v>
      </c>
      <c r="E63" s="99"/>
      <c r="F63" s="99">
        <f>$I$96*(1+$E$54)*($E$55*(1-F$57))</f>
        <v>1021.6221560404431</v>
      </c>
      <c r="G63" s="99">
        <f t="shared" si="0"/>
        <v>-13.805704811357373</v>
      </c>
      <c r="H63" s="99">
        <f t="shared" si="1"/>
        <v>13.805704811357373</v>
      </c>
      <c r="I63" s="99">
        <f t="shared" si="2"/>
        <v>27.611409622714746</v>
      </c>
    </row>
    <row r="64" spans="2:9" x14ac:dyDescent="0.3">
      <c r="D64" s="99"/>
      <c r="E64" s="99"/>
      <c r="F64" s="99"/>
      <c r="G64" s="99"/>
      <c r="H64" s="99"/>
      <c r="I64" s="99"/>
    </row>
    <row r="65" spans="2:9" x14ac:dyDescent="0.3">
      <c r="D65" s="99"/>
      <c r="E65" s="99"/>
      <c r="F65" s="99"/>
      <c r="G65" s="99"/>
      <c r="H65" s="99"/>
      <c r="I65" s="99"/>
    </row>
    <row r="66" spans="2:9" x14ac:dyDescent="0.3">
      <c r="B66" s="2" t="s">
        <v>1375</v>
      </c>
      <c r="D66" s="99"/>
      <c r="E66" s="99"/>
      <c r="F66" s="99"/>
      <c r="G66" s="99"/>
      <c r="H66" s="99"/>
      <c r="I66" s="99"/>
    </row>
    <row r="67" spans="2:9" x14ac:dyDescent="0.3">
      <c r="C67" t="str">
        <f>C61</f>
        <v>EBIT margin</v>
      </c>
      <c r="D67" s="99">
        <f>D61</f>
        <v>1149.5696501095251</v>
      </c>
      <c r="E67" s="99"/>
      <c r="F67" s="99">
        <f>F61</f>
        <v>931.29853010952547</v>
      </c>
      <c r="G67" s="99">
        <f t="shared" ref="G67:I67" si="3">G61</f>
        <v>-104.12933074227499</v>
      </c>
      <c r="H67" s="99">
        <f t="shared" si="3"/>
        <v>114.14178925772467</v>
      </c>
      <c r="I67" s="99">
        <f t="shared" si="3"/>
        <v>218.27111999999966</v>
      </c>
    </row>
    <row r="68" spans="2:9" x14ac:dyDescent="0.3">
      <c r="C68" t="str">
        <f>C60</f>
        <v>Revenue Growth</v>
      </c>
      <c r="D68" s="99">
        <f>D60</f>
        <v>1060.7168955449881</v>
      </c>
      <c r="E68" s="99"/>
      <c r="F68" s="99">
        <f>F60</f>
        <v>942.85946270665602</v>
      </c>
      <c r="G68" s="99">
        <f t="shared" ref="G68:I68" si="4">G60</f>
        <v>-92.568398145144442</v>
      </c>
      <c r="H68" s="99">
        <f t="shared" si="4"/>
        <v>25.289034693187659</v>
      </c>
      <c r="I68" s="99">
        <f t="shared" si="4"/>
        <v>117.8574328383321</v>
      </c>
    </row>
    <row r="69" spans="2:9" x14ac:dyDescent="0.3">
      <c r="C69" t="str">
        <f>C63</f>
        <v>Reported ETR</v>
      </c>
      <c r="D69" s="99">
        <f>D63</f>
        <v>1049.2335656631578</v>
      </c>
      <c r="E69" s="99"/>
      <c r="F69" s="99">
        <f>F63</f>
        <v>1021.6221560404431</v>
      </c>
      <c r="G69" s="99">
        <f t="shared" ref="G69:I69" si="5">G63</f>
        <v>-13.805704811357373</v>
      </c>
      <c r="H69" s="99">
        <f t="shared" si="5"/>
        <v>13.805704811357373</v>
      </c>
      <c r="I69" s="99">
        <f t="shared" si="5"/>
        <v>27.611409622714746</v>
      </c>
    </row>
    <row r="72" spans="2:9" x14ac:dyDescent="0.3">
      <c r="B72" s="2" t="s">
        <v>1376</v>
      </c>
    </row>
    <row r="73" spans="2:9" x14ac:dyDescent="0.3">
      <c r="C73" s="2" t="str">
        <f>C53</f>
        <v>Driver</v>
      </c>
      <c r="D73" s="2" t="str">
        <f>G53</f>
        <v>Downside</v>
      </c>
      <c r="E73" s="2" t="str">
        <f>H53</f>
        <v>Upside</v>
      </c>
    </row>
    <row r="74" spans="2:9" x14ac:dyDescent="0.3">
      <c r="C74" t="str">
        <f>C67</f>
        <v>EBIT margin</v>
      </c>
      <c r="D74" s="99">
        <f>G67</f>
        <v>-104.12933074227499</v>
      </c>
      <c r="E74" s="99">
        <f>H67</f>
        <v>114.14178925772467</v>
      </c>
    </row>
    <row r="75" spans="2:9" x14ac:dyDescent="0.3">
      <c r="C75" t="str">
        <f t="shared" ref="C75:C76" si="6">C68</f>
        <v>Revenue Growth</v>
      </c>
      <c r="D75" s="99">
        <f t="shared" ref="D75:E75" si="7">G68</f>
        <v>-92.568398145144442</v>
      </c>
      <c r="E75" s="99">
        <f t="shared" si="7"/>
        <v>25.289034693187659</v>
      </c>
    </row>
    <row r="76" spans="2:9" x14ac:dyDescent="0.3">
      <c r="C76" t="str">
        <f t="shared" si="6"/>
        <v>Reported ETR</v>
      </c>
      <c r="D76" s="99">
        <f t="shared" ref="D76:E76" si="8">G69</f>
        <v>-13.805704811357373</v>
      </c>
      <c r="E76" s="99">
        <f t="shared" si="8"/>
        <v>13.805704811357373</v>
      </c>
    </row>
    <row r="82" spans="2:26" x14ac:dyDescent="0.3"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4" spans="2:26" x14ac:dyDescent="0.3">
      <c r="B84" s="2" t="s">
        <v>1359</v>
      </c>
    </row>
    <row r="85" spans="2:26" x14ac:dyDescent="0.3">
      <c r="C85" t="str">
        <f>'MODEL&amp;SCHEDULE'!C9</f>
        <v>Online UK</v>
      </c>
      <c r="D85" t="s">
        <v>1362</v>
      </c>
      <c r="I85">
        <f>'MODEL&amp;SCHEDULE'!I9</f>
        <v>2587.4</v>
      </c>
      <c r="J85">
        <f>'MODEL&amp;SCHEDULE'!J9</f>
        <v>2716.7700000000004</v>
      </c>
      <c r="K85">
        <f>'MODEL&amp;SCHEDULE'!K9</f>
        <v>2988.4470000000006</v>
      </c>
      <c r="L85">
        <f>'MODEL&amp;SCHEDULE'!L9</f>
        <v>3478.5523080000003</v>
      </c>
      <c r="M85">
        <f>'MODEL&amp;SCHEDULE'!M9</f>
        <v>3895.9785849600007</v>
      </c>
      <c r="N85">
        <f>'MODEL&amp;SCHEDULE'!N9</f>
        <v>4207.6568717568007</v>
      </c>
    </row>
    <row r="86" spans="2:26" x14ac:dyDescent="0.3">
      <c r="B86" s="2" t="s">
        <v>652</v>
      </c>
    </row>
    <row r="87" spans="2:26" x14ac:dyDescent="0.3">
      <c r="C87" t="str">
        <f>SCENARIOS!C21</f>
        <v xml:space="preserve">Online UK </v>
      </c>
      <c r="J87" s="60">
        <f>SCENARIOS!J21</f>
        <v>0.05</v>
      </c>
      <c r="K87" s="60">
        <f>SCENARIOS!K21</f>
        <v>0.1</v>
      </c>
      <c r="L87" s="60">
        <f>SCENARIOS!L21</f>
        <v>0.16400000000000001</v>
      </c>
      <c r="M87" s="60">
        <f>SCENARIOS!M21</f>
        <v>0.12</v>
      </c>
      <c r="N87" s="60">
        <f>SCENARIOS!N21</f>
        <v>0.08</v>
      </c>
    </row>
    <row r="88" spans="2:26" x14ac:dyDescent="0.3">
      <c r="C88" t="str">
        <f>'MODEL&amp;SCHEDULE'!C77</f>
        <v>EBIT margin</v>
      </c>
      <c r="E88" s="60"/>
      <c r="F88" s="60"/>
      <c r="G88" s="60"/>
      <c r="H88" s="60"/>
      <c r="I88" s="60"/>
      <c r="J88" s="71">
        <f>'MODEL&amp;SCHEDULE'!J77</f>
        <v>0.18975077616347968</v>
      </c>
      <c r="K88" s="71">
        <f>'MODEL&amp;SCHEDULE'!K77</f>
        <v>0.18980312867593535</v>
      </c>
      <c r="L88" s="71">
        <f>'MODEL&amp;SCHEDULE'!L77</f>
        <v>0.18984526565682147</v>
      </c>
      <c r="M88" s="71">
        <f>'MODEL&amp;SCHEDULE'!M77</f>
        <v>0.18990604520768156</v>
      </c>
      <c r="N88" s="71">
        <f>'MODEL&amp;SCHEDULE'!N77</f>
        <v>0.18997823191845642</v>
      </c>
    </row>
    <row r="89" spans="2:26" x14ac:dyDescent="0.3">
      <c r="C89" t="str">
        <f>ASSUMPTIONS!C55</f>
        <v>Cost of sales as a % of revenue</v>
      </c>
      <c r="E89" s="60"/>
      <c r="F89" s="60"/>
      <c r="G89" s="60"/>
      <c r="H89" s="60"/>
      <c r="I89" s="60"/>
      <c r="J89" s="60">
        <f>ASSUMPTIONS!J55</f>
        <v>0.56086810280947685</v>
      </c>
      <c r="K89" s="60"/>
      <c r="L89" s="60"/>
      <c r="M89" s="60"/>
      <c r="N89" s="60"/>
    </row>
    <row r="90" spans="2:26" x14ac:dyDescent="0.3">
      <c r="C90" t="str">
        <f>ASSUMPTIONS!C66</f>
        <v>Reported ETR</v>
      </c>
      <c r="E90" s="60"/>
      <c r="F90" s="60"/>
      <c r="G90" s="60"/>
      <c r="H90" s="60"/>
      <c r="I90" s="60"/>
      <c r="J90" s="60">
        <f>ASSUMPTIONS!J66</f>
        <v>0.25</v>
      </c>
      <c r="K90" s="60"/>
      <c r="L90" s="60"/>
      <c r="M90" s="60"/>
      <c r="N90" s="60"/>
    </row>
    <row r="91" spans="2:26" x14ac:dyDescent="0.3">
      <c r="B91" s="2" t="s">
        <v>1360</v>
      </c>
      <c r="G91" s="60"/>
    </row>
    <row r="92" spans="2:26" x14ac:dyDescent="0.3">
      <c r="C92" t="str">
        <f>'MODEL&amp;SCHEDULE'!C73</f>
        <v>EBIAT/NOPAT</v>
      </c>
      <c r="G92" s="60"/>
      <c r="J92" s="2">
        <f>'MODEL&amp;SCHEDULE'!J73</f>
        <v>1035.4278608518005</v>
      </c>
      <c r="K92" s="2">
        <f>'MODEL&amp;SCHEDULE'!K73</f>
        <v>1132.0174103973582</v>
      </c>
      <c r="L92" s="2">
        <f>'MODEL&amp;SCHEDULE'!L73</f>
        <v>1256.5016492870477</v>
      </c>
      <c r="M92" s="2">
        <f>'MODEL&amp;SCHEDULE'!M73</f>
        <v>1370.5705863277572</v>
      </c>
      <c r="N92" s="2">
        <f>'MODEL&amp;SCHEDULE'!N73</f>
        <v>1484.4850454282932</v>
      </c>
    </row>
    <row r="93" spans="2:26" x14ac:dyDescent="0.3">
      <c r="G93" s="60"/>
      <c r="J93" s="2"/>
      <c r="K93" s="2"/>
      <c r="L93" s="2"/>
      <c r="M93" s="2"/>
      <c r="N93" s="2"/>
    </row>
    <row r="94" spans="2:26" x14ac:dyDescent="0.3">
      <c r="B94" t="s">
        <v>1364</v>
      </c>
      <c r="G94" s="60"/>
      <c r="J94" s="2"/>
      <c r="K94" s="2"/>
      <c r="L94" s="2"/>
      <c r="M94" s="2"/>
      <c r="N94" s="2"/>
    </row>
    <row r="95" spans="2:26" x14ac:dyDescent="0.3">
      <c r="B95" s="2" t="s">
        <v>1359</v>
      </c>
      <c r="G95" s="60"/>
      <c r="J95" s="2"/>
      <c r="K95" s="2"/>
      <c r="L95" s="2"/>
      <c r="M95" s="2"/>
      <c r="N95" s="2"/>
    </row>
    <row r="96" spans="2:26" x14ac:dyDescent="0.3">
      <c r="C96" t="str">
        <f>SUMMARY!C8</f>
        <v>Revenue</v>
      </c>
      <c r="G96" s="60"/>
      <c r="I96">
        <f>SUMMARY!I8</f>
        <v>6901.3</v>
      </c>
      <c r="J96">
        <f>SUMMARY!J8</f>
        <v>7275.7040000000006</v>
      </c>
      <c r="K96">
        <f>SUMMARY!K8</f>
        <v>7952.2216399999998</v>
      </c>
      <c r="L96">
        <f>SUMMARY!L8</f>
        <v>8824.742226710001</v>
      </c>
      <c r="M96">
        <f>SUMMARY!M8</f>
        <v>9622.7976652272009</v>
      </c>
      <c r="N96">
        <f>SUMMARY!N8</f>
        <v>10418.632566040322</v>
      </c>
    </row>
    <row r="97" spans="3:14" x14ac:dyDescent="0.3">
      <c r="C97" t="str">
        <f>SUMMARY!C9</f>
        <v>Revenue Growth</v>
      </c>
      <c r="G97" s="60"/>
      <c r="I97" s="71">
        <f>SUMMARY!I9</f>
        <v>0.12801359899315168</v>
      </c>
      <c r="J97" s="71">
        <f>SUMMARY!J9</f>
        <v>5.4251228029501775E-2</v>
      </c>
      <c r="K97" s="71">
        <f>SUMMARY!K9</f>
        <v>9.2983117510003099E-2</v>
      </c>
      <c r="L97" s="71">
        <f>SUMMARY!L9</f>
        <v>0.10972035567031813</v>
      </c>
      <c r="M97" s="71">
        <f>SUMMARY!M9</f>
        <v>9.0433852685431582E-2</v>
      </c>
      <c r="N97" s="71">
        <f>SUMMARY!N9</f>
        <v>8.2703069159288045E-2</v>
      </c>
    </row>
    <row r="98" spans="3:14" x14ac:dyDescent="0.3">
      <c r="C98" t="s">
        <v>1372</v>
      </c>
      <c r="G98" s="60"/>
      <c r="J98" s="115">
        <f>1-E56</f>
        <v>0.43913189719052315</v>
      </c>
      <c r="K98" s="2"/>
      <c r="L98" s="2"/>
      <c r="M98" s="2"/>
      <c r="N98" s="2"/>
    </row>
    <row r="99" spans="3:14" x14ac:dyDescent="0.3">
      <c r="C99" t="s">
        <v>1373</v>
      </c>
      <c r="G99" s="60"/>
      <c r="J99" s="61">
        <f>('MODEL&amp;SCHEDULE'!J21+'MODEL&amp;SCHEDULE'!J22-'MODEL&amp;SCHEDULE'!J25)/'MODEL&amp;SCHEDULE'!J17</f>
        <v>0.24938112102704346</v>
      </c>
      <c r="K99" s="2"/>
      <c r="L99" s="2"/>
      <c r="M99" s="2"/>
      <c r="N99" s="2"/>
    </row>
    <row r="102" spans="3:14" s="127" customFormat="1" ht="15" thickBot="1" x14ac:dyDescent="0.35"/>
    <row r="388" spans="285:285" x14ac:dyDescent="0.3">
      <c r="JY388" t="s">
        <v>236</v>
      </c>
    </row>
  </sheetData>
  <conditionalFormatting sqref="C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:W2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:X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ACC5-B2FB-4FF6-8F72-E5467F000788}">
  <sheetPr>
    <tabColor rgb="FFFFC000"/>
  </sheetPr>
  <dimension ref="A1:Z8"/>
  <sheetViews>
    <sheetView workbookViewId="0">
      <selection activeCell="C10" sqref="C10"/>
    </sheetView>
  </sheetViews>
  <sheetFormatPr defaultRowHeight="14.4" x14ac:dyDescent="0.3"/>
  <cols>
    <col min="1" max="1" width="5.5546875" customWidth="1"/>
    <col min="2" max="2" width="5.44140625" customWidth="1"/>
    <col min="3" max="3" width="24.77734375" customWidth="1"/>
  </cols>
  <sheetData>
    <row r="1" spans="1:26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3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8" spans="1:26" ht="15.6" x14ac:dyDescent="0.3">
      <c r="C8" s="39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18E-1D7D-48F0-8062-3BD3A5822A7E}">
  <sheetPr>
    <tabColor theme="5"/>
  </sheetPr>
  <dimension ref="A1"/>
  <sheetViews>
    <sheetView workbookViewId="0">
      <selection activeCell="F29" sqref="F29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2CC4-5995-4702-B380-8FC5C5583880}">
  <sheetPr>
    <tabColor rgb="FFFFFF00"/>
  </sheetPr>
  <dimension ref="A1"/>
  <sheetViews>
    <sheetView workbookViewId="0">
      <selection activeCell="C8" sqref="C8:D8"/>
    </sheetView>
  </sheetViews>
  <sheetFormatPr defaultRowHeight="14.4" x14ac:dyDescent="0.3"/>
  <cols>
    <col min="1" max="1" width="5.33203125" customWidth="1"/>
    <col min="2" max="2" width="4.44140625" customWidth="1"/>
    <col min="3" max="3" width="18.109375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B36-88C9-438D-BFFB-88E1D440DB30}">
  <sheetPr>
    <tabColor theme="2" tint="-0.499984740745262"/>
  </sheetPr>
  <dimension ref="A1:Y15"/>
  <sheetViews>
    <sheetView workbookViewId="0">
      <selection activeCell="F21" sqref="F21"/>
    </sheetView>
  </sheetViews>
  <sheetFormatPr defaultRowHeight="14.4" x14ac:dyDescent="0.3"/>
  <cols>
    <col min="1" max="1" width="4.44140625" customWidth="1"/>
    <col min="2" max="2" width="4.6640625" customWidth="1"/>
  </cols>
  <sheetData>
    <row r="1" spans="1:25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x14ac:dyDescent="0.3">
      <c r="C6" t="s">
        <v>51</v>
      </c>
    </row>
    <row r="7" spans="1:25" x14ac:dyDescent="0.3">
      <c r="C7" t="s">
        <v>52</v>
      </c>
      <c r="E7" s="10">
        <v>0.156</v>
      </c>
      <c r="F7" s="10">
        <v>0.155</v>
      </c>
      <c r="G7" s="10">
        <v>0.152</v>
      </c>
      <c r="H7" s="10">
        <v>0.156</v>
      </c>
      <c r="I7" s="10">
        <v>0.158</v>
      </c>
    </row>
    <row r="8" spans="1:25" x14ac:dyDescent="0.3">
      <c r="C8" t="s">
        <v>53</v>
      </c>
      <c r="E8" s="10">
        <v>0.14399999999999999</v>
      </c>
      <c r="F8" s="10">
        <v>0.14099999999999999</v>
      </c>
      <c r="G8" s="10">
        <v>0.13800000000000001</v>
      </c>
      <c r="H8" s="10">
        <v>0.13300000000000001</v>
      </c>
      <c r="I8" s="10">
        <v>0.123</v>
      </c>
    </row>
    <row r="9" spans="1:25" x14ac:dyDescent="0.3">
      <c r="C9" t="s">
        <v>54</v>
      </c>
      <c r="E9" s="11">
        <v>0.08</v>
      </c>
      <c r="F9" s="10">
        <v>8.5999999999999993E-2</v>
      </c>
      <c r="G9" s="11">
        <v>0.1</v>
      </c>
      <c r="H9" s="11">
        <v>0.1</v>
      </c>
      <c r="I9" s="10">
        <v>0.10199999999999999</v>
      </c>
    </row>
    <row r="10" spans="1:25" x14ac:dyDescent="0.3">
      <c r="C10" t="s">
        <v>55</v>
      </c>
      <c r="E10" s="10">
        <v>0.10199999999999999</v>
      </c>
      <c r="F10" s="10">
        <v>9.7000000000000003E-2</v>
      </c>
      <c r="G10" s="10">
        <v>8.8999999999999996E-2</v>
      </c>
      <c r="H10" s="10">
        <v>8.6999999999999994E-2</v>
      </c>
      <c r="I10" s="10">
        <v>8.5000000000000006E-2</v>
      </c>
    </row>
    <row r="11" spans="1:25" x14ac:dyDescent="0.3">
      <c r="C11" t="s">
        <v>56</v>
      </c>
      <c r="E11" s="10">
        <v>5.2999999999999999E-2</v>
      </c>
      <c r="F11" s="10">
        <v>5.8000000000000003E-2</v>
      </c>
      <c r="G11" s="10">
        <v>6.7000000000000004E-2</v>
      </c>
      <c r="H11" s="11">
        <v>7.0000000000000007E-2</v>
      </c>
      <c r="I11" s="10">
        <v>7.2999999999999995E-2</v>
      </c>
    </row>
    <row r="12" spans="1:25" x14ac:dyDescent="0.3">
      <c r="C12" t="s">
        <v>57</v>
      </c>
      <c r="E12" s="10">
        <v>6.2E-2</v>
      </c>
      <c r="F12" s="10">
        <v>5.8999999999999997E-2</v>
      </c>
      <c r="G12" s="10">
        <v>5.7000000000000002E-2</v>
      </c>
      <c r="H12" s="10">
        <v>5.3999999999999999E-2</v>
      </c>
      <c r="I12" s="10">
        <v>5.2999999999999999E-2</v>
      </c>
    </row>
    <row r="13" spans="1:25" x14ac:dyDescent="0.3">
      <c r="C13" t="s">
        <v>58</v>
      </c>
      <c r="E13" s="10">
        <v>5.1999999999999998E-2</v>
      </c>
      <c r="F13" s="10">
        <v>4.9000000000000002E-2</v>
      </c>
      <c r="G13" s="10">
        <v>4.8000000000000001E-2</v>
      </c>
      <c r="H13" s="10">
        <v>4.7E-2</v>
      </c>
      <c r="I13" s="10">
        <v>4.7E-2</v>
      </c>
    </row>
    <row r="14" spans="1:25" x14ac:dyDescent="0.3">
      <c r="C14" t="s">
        <v>59</v>
      </c>
      <c r="E14" s="10">
        <v>2.5000000000000001E-2</v>
      </c>
      <c r="F14" s="10">
        <v>2.4E-2</v>
      </c>
      <c r="G14" s="10">
        <v>2.4E-2</v>
      </c>
      <c r="H14" s="10">
        <v>2.4E-2</v>
      </c>
      <c r="I14" s="10">
        <v>2.3E-2</v>
      </c>
    </row>
    <row r="15" spans="1:25" x14ac:dyDescent="0.3">
      <c r="C15" t="s">
        <v>60</v>
      </c>
      <c r="E15" s="10">
        <v>1.7000000000000001E-2</v>
      </c>
      <c r="F15" s="10">
        <v>1.7000000000000001E-2</v>
      </c>
      <c r="G15" s="10">
        <v>1.7000000000000001E-2</v>
      </c>
      <c r="H15" s="10">
        <v>1.7999999999999999E-2</v>
      </c>
      <c r="I15" s="10">
        <v>1.9E-2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73B7-E58D-44DE-90AC-922423EAEFB1}">
  <sheetPr>
    <tabColor theme="8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BBF1-F087-4637-9EBD-DA39E533A91C}">
  <sheetPr>
    <tabColor rgb="FFC0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AC27-9518-497F-AD02-0BF928B04D53}">
  <sheetPr>
    <tabColor theme="5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8F41-1BF4-432C-8DFA-96304C9721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0EB0-748E-4EC1-BDDF-9F3728EAD771}">
  <dimension ref="B6:B26"/>
  <sheetViews>
    <sheetView workbookViewId="0">
      <selection activeCell="B26" sqref="B26"/>
    </sheetView>
  </sheetViews>
  <sheetFormatPr defaultRowHeight="14.4" x14ac:dyDescent="0.3"/>
  <cols>
    <col min="1" max="1" width="5.21875" customWidth="1"/>
    <col min="2" max="2" width="5.5546875" customWidth="1"/>
    <col min="3" max="3" width="27.21875" customWidth="1"/>
  </cols>
  <sheetData>
    <row r="6" spans="2:2" x14ac:dyDescent="0.3">
      <c r="B6" t="s">
        <v>89</v>
      </c>
    </row>
    <row r="13" spans="2:2" x14ac:dyDescent="0.3">
      <c r="B13" t="s">
        <v>90</v>
      </c>
    </row>
    <row r="20" spans="2:2" x14ac:dyDescent="0.3">
      <c r="B20" t="s">
        <v>91</v>
      </c>
    </row>
    <row r="26" spans="2:2" x14ac:dyDescent="0.3">
      <c r="B26" t="s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7767-66BD-44A3-BCB6-ED879F7393A1}">
  <dimension ref="A4:G14"/>
  <sheetViews>
    <sheetView workbookViewId="0">
      <selection activeCell="H29" sqref="H29"/>
    </sheetView>
  </sheetViews>
  <sheetFormatPr defaultRowHeight="14.4" x14ac:dyDescent="0.3"/>
  <cols>
    <col min="1" max="1" width="15.33203125" customWidth="1"/>
    <col min="2" max="3" width="21.44140625" customWidth="1"/>
    <col min="4" max="4" width="46.44140625" customWidth="1"/>
    <col min="5" max="5" width="19.109375" customWidth="1"/>
    <col min="6" max="6" width="4.21875" customWidth="1"/>
  </cols>
  <sheetData>
    <row r="4" spans="1:7" x14ac:dyDescent="0.3">
      <c r="A4" s="7">
        <v>46177</v>
      </c>
      <c r="B4" t="str">
        <f>ASSUMPTIONS!C299</f>
        <v>Risk- Free Rate %</v>
      </c>
      <c r="C4" s="8">
        <v>46022</v>
      </c>
      <c r="D4" s="6" t="s">
        <v>39</v>
      </c>
      <c r="E4" t="s">
        <v>40</v>
      </c>
      <c r="G4" t="s">
        <v>48</v>
      </c>
    </row>
    <row r="5" spans="1:7" x14ac:dyDescent="0.3">
      <c r="A5" s="7">
        <f>A4</f>
        <v>46177</v>
      </c>
      <c r="B5" t="str">
        <f>ASSUMPTIONS!C307</f>
        <v>unlevered beta corrected for cash</v>
      </c>
      <c r="C5" s="7">
        <v>46027</v>
      </c>
      <c r="E5" t="s">
        <v>41</v>
      </c>
      <c r="G5" t="s">
        <v>47</v>
      </c>
    </row>
    <row r="6" spans="1:7" x14ac:dyDescent="0.3">
      <c r="A6" s="7">
        <f>A5</f>
        <v>46177</v>
      </c>
      <c r="B6" t="s">
        <v>43</v>
      </c>
      <c r="C6" s="9">
        <v>9.1151863263817079E-2</v>
      </c>
      <c r="D6" t="s">
        <v>45</v>
      </c>
      <c r="E6" t="str">
        <f>E5</f>
        <v>https://pages.stern.nyu.edu/~adamodar/New_Home_Page/datacurrent.html#discrate</v>
      </c>
      <c r="G6" t="s">
        <v>49</v>
      </c>
    </row>
    <row r="7" spans="1:7" x14ac:dyDescent="0.3">
      <c r="A7" s="7">
        <f>A6</f>
        <v>46177</v>
      </c>
      <c r="B7" t="s">
        <v>44</v>
      </c>
      <c r="C7" s="9">
        <v>7.3766936391363461E-2</v>
      </c>
      <c r="D7" t="str">
        <f>D6</f>
        <v>retail(grocery and food)</v>
      </c>
      <c r="E7" t="str">
        <f>E6</f>
        <v>https://pages.stern.nyu.edu/~adamodar/New_Home_Page/datacurrent.html#discrate</v>
      </c>
      <c r="G7" t="s">
        <v>49</v>
      </c>
    </row>
    <row r="8" spans="1:7" x14ac:dyDescent="0.3">
      <c r="A8" s="7">
        <f>A7</f>
        <v>46177</v>
      </c>
      <c r="B8" t="str">
        <f>ASSUMPTIONS!C300</f>
        <v>Equity Risk Premium %</v>
      </c>
      <c r="C8" s="8">
        <v>46023</v>
      </c>
      <c r="D8" t="s">
        <v>46</v>
      </c>
      <c r="E8" t="str">
        <f>E7</f>
        <v>https://pages.stern.nyu.edu/~adamodar/New_Home_Page/datacurrent.html#discrate</v>
      </c>
      <c r="G8" t="s">
        <v>50</v>
      </c>
    </row>
    <row r="9" spans="1:7" x14ac:dyDescent="0.3">
      <c r="A9" s="7">
        <f>A8</f>
        <v>46177</v>
      </c>
      <c r="B9" t="e">
        <f>ASSUMPTIONS!#REF!</f>
        <v>#REF!</v>
      </c>
      <c r="C9" t="s">
        <v>62</v>
      </c>
      <c r="D9" t="s">
        <v>63</v>
      </c>
      <c r="E9" t="s">
        <v>61</v>
      </c>
    </row>
    <row r="10" spans="1:7" x14ac:dyDescent="0.3">
      <c r="B10" t="e">
        <f>ASSUMPTIONS!#REF!</f>
        <v>#REF!</v>
      </c>
      <c r="C10" t="s">
        <v>67</v>
      </c>
      <c r="D10" t="s">
        <v>64</v>
      </c>
      <c r="E10" t="s">
        <v>65</v>
      </c>
      <c r="G10" t="s">
        <v>66</v>
      </c>
    </row>
    <row r="11" spans="1:7" x14ac:dyDescent="0.3">
      <c r="B11" t="str">
        <f>ASSUMPTIONS!C32</f>
        <v>UK CPI Inflation</v>
      </c>
      <c r="C11" t="s">
        <v>68</v>
      </c>
      <c r="D11" t="s">
        <v>69</v>
      </c>
      <c r="E11" t="s">
        <v>70</v>
      </c>
    </row>
    <row r="14" spans="1:7" x14ac:dyDescent="0.3">
      <c r="A14" s="7">
        <v>46197</v>
      </c>
      <c r="B14" t="s">
        <v>1203</v>
      </c>
      <c r="C14" t="s">
        <v>1208</v>
      </c>
      <c r="D14" t="s">
        <v>1209</v>
      </c>
      <c r="E14" t="s">
        <v>1207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1804-A8B5-4A78-95D3-0211EDAE2590}">
  <sheetPr>
    <tabColor rgb="FFFF0000"/>
  </sheetPr>
  <dimension ref="A1:AG2869"/>
  <sheetViews>
    <sheetView topLeftCell="A817" workbookViewId="0">
      <selection activeCell="F836" sqref="F836"/>
    </sheetView>
  </sheetViews>
  <sheetFormatPr defaultRowHeight="14.4" x14ac:dyDescent="0.3"/>
  <cols>
    <col min="3" max="3" width="34.88671875" customWidth="1"/>
    <col min="4" max="4" width="39.77734375" customWidth="1"/>
  </cols>
  <sheetData>
    <row r="1" spans="3:23" x14ac:dyDescent="0.3">
      <c r="W1" s="16"/>
    </row>
    <row r="2" spans="3:23" x14ac:dyDescent="0.3">
      <c r="C2" t="s">
        <v>1130</v>
      </c>
      <c r="W2" s="16"/>
    </row>
    <row r="3" spans="3:23" x14ac:dyDescent="0.3">
      <c r="W3" s="59" t="s">
        <v>313</v>
      </c>
    </row>
    <row r="4" spans="3:23" x14ac:dyDescent="0.3">
      <c r="W4" s="16"/>
    </row>
    <row r="5" spans="3:23" x14ac:dyDescent="0.3">
      <c r="W5" s="19">
        <v>2021</v>
      </c>
    </row>
    <row r="7" spans="3:23" x14ac:dyDescent="0.3">
      <c r="U7" t="s">
        <v>808</v>
      </c>
    </row>
    <row r="8" spans="3:23" x14ac:dyDescent="0.3">
      <c r="U8" t="s">
        <v>809</v>
      </c>
    </row>
    <row r="9" spans="3:23" x14ac:dyDescent="0.3">
      <c r="U9" t="s">
        <v>810</v>
      </c>
    </row>
    <row r="10" spans="3:23" x14ac:dyDescent="0.3">
      <c r="U10" t="s">
        <v>808</v>
      </c>
      <c r="W10">
        <v>3284.1</v>
      </c>
    </row>
    <row r="11" spans="3:23" x14ac:dyDescent="0.3">
      <c r="U11" t="s">
        <v>238</v>
      </c>
      <c r="W11">
        <v>250.3</v>
      </c>
    </row>
    <row r="12" spans="3:23" x14ac:dyDescent="0.3">
      <c r="U12" t="s">
        <v>586</v>
      </c>
      <c r="W12" s="46">
        <f>W10+W11</f>
        <v>3534.4</v>
      </c>
    </row>
    <row r="13" spans="3:23" x14ac:dyDescent="0.3">
      <c r="U13" t="s">
        <v>811</v>
      </c>
      <c r="W13">
        <v>2231.6999999999998</v>
      </c>
    </row>
    <row r="14" spans="3:23" x14ac:dyDescent="0.3">
      <c r="U14" t="s">
        <v>246</v>
      </c>
      <c r="W14">
        <v>54.8</v>
      </c>
    </row>
    <row r="15" spans="3:23" x14ac:dyDescent="0.3">
      <c r="U15" t="s">
        <v>812</v>
      </c>
      <c r="W15" s="46">
        <f>W12-W13-W14</f>
        <v>1247.9000000000003</v>
      </c>
    </row>
    <row r="16" spans="3:23" x14ac:dyDescent="0.3">
      <c r="U16" t="s">
        <v>241</v>
      </c>
      <c r="W16">
        <v>555.79999999999995</v>
      </c>
    </row>
    <row r="17" spans="21:23" x14ac:dyDescent="0.3">
      <c r="U17" t="s">
        <v>813</v>
      </c>
      <c r="W17">
        <v>246.8</v>
      </c>
    </row>
    <row r="18" spans="21:23" x14ac:dyDescent="0.3">
      <c r="U18" t="s">
        <v>814</v>
      </c>
      <c r="W18">
        <v>-1.3</v>
      </c>
    </row>
    <row r="19" spans="21:23" x14ac:dyDescent="0.3">
      <c r="U19" t="s">
        <v>815</v>
      </c>
      <c r="W19" s="46">
        <f>W15-W16-W17+W18</f>
        <v>444.00000000000034</v>
      </c>
    </row>
    <row r="20" spans="21:23" x14ac:dyDescent="0.3">
      <c r="W20">
        <v>0.5</v>
      </c>
    </row>
    <row r="21" spans="21:23" x14ac:dyDescent="0.3">
      <c r="U21" t="s">
        <v>816</v>
      </c>
    </row>
    <row r="23" spans="21:23" x14ac:dyDescent="0.3">
      <c r="W23" s="46">
        <f>SUM(W19:W22)</f>
        <v>444.50000000000034</v>
      </c>
    </row>
    <row r="24" spans="21:23" x14ac:dyDescent="0.3">
      <c r="U24" t="s">
        <v>808</v>
      </c>
    </row>
    <row r="25" spans="21:23" x14ac:dyDescent="0.3">
      <c r="U25" t="s">
        <v>817</v>
      </c>
      <c r="W25">
        <v>0.6</v>
      </c>
    </row>
    <row r="26" spans="21:23" x14ac:dyDescent="0.3">
      <c r="U26" t="s">
        <v>808</v>
      </c>
      <c r="W26">
        <v>-102.7</v>
      </c>
    </row>
    <row r="27" spans="21:23" x14ac:dyDescent="0.3">
      <c r="U27" t="s">
        <v>818</v>
      </c>
      <c r="W27" s="46">
        <f>SUM(W23:W26)</f>
        <v>342.40000000000038</v>
      </c>
    </row>
    <row r="28" spans="21:23" x14ac:dyDescent="0.3">
      <c r="U28" t="s">
        <v>819</v>
      </c>
      <c r="W28">
        <v>-55.7</v>
      </c>
    </row>
    <row r="29" spans="21:23" x14ac:dyDescent="0.3">
      <c r="U29" t="s">
        <v>814</v>
      </c>
      <c r="W29" s="47">
        <f>SUM(W27:W28)</f>
        <v>286.70000000000039</v>
      </c>
    </row>
    <row r="30" spans="21:23" x14ac:dyDescent="0.3">
      <c r="U30" t="s">
        <v>820</v>
      </c>
      <c r="W30" s="2"/>
    </row>
    <row r="31" spans="21:23" x14ac:dyDescent="0.3">
      <c r="U31" t="s">
        <v>821</v>
      </c>
      <c r="W31" s="2"/>
    </row>
    <row r="32" spans="21:23" x14ac:dyDescent="0.3">
      <c r="W32" s="2"/>
    </row>
    <row r="33" spans="21:23" x14ac:dyDescent="0.3">
      <c r="W33" s="2"/>
    </row>
    <row r="34" spans="21:23" x14ac:dyDescent="0.3">
      <c r="U34" t="s">
        <v>808</v>
      </c>
    </row>
    <row r="35" spans="21:23" x14ac:dyDescent="0.3">
      <c r="U35" t="s">
        <v>822</v>
      </c>
      <c r="W35" s="47">
        <f>SUM(W33:W34)</f>
        <v>0</v>
      </c>
    </row>
    <row r="36" spans="21:23" x14ac:dyDescent="0.3">
      <c r="U36" t="s">
        <v>808</v>
      </c>
    </row>
    <row r="37" spans="21:23" x14ac:dyDescent="0.3">
      <c r="U37" t="s">
        <v>141</v>
      </c>
      <c r="W37" t="s">
        <v>179</v>
      </c>
    </row>
    <row r="38" spans="21:23" x14ac:dyDescent="0.3">
      <c r="U38" t="s">
        <v>116</v>
      </c>
      <c r="W38" t="s">
        <v>180</v>
      </c>
    </row>
    <row r="39" spans="21:23" x14ac:dyDescent="0.3">
      <c r="U39" t="s">
        <v>823</v>
      </c>
    </row>
    <row r="40" spans="21:23" x14ac:dyDescent="0.3">
      <c r="U40" t="s">
        <v>814</v>
      </c>
    </row>
    <row r="41" spans="21:23" x14ac:dyDescent="0.3">
      <c r="U41" t="s">
        <v>824</v>
      </c>
    </row>
    <row r="44" spans="21:23" x14ac:dyDescent="0.3">
      <c r="U44" t="s">
        <v>808</v>
      </c>
    </row>
    <row r="45" spans="21:23" x14ac:dyDescent="0.3">
      <c r="U45" t="s">
        <v>825</v>
      </c>
    </row>
    <row r="46" spans="21:23" x14ac:dyDescent="0.3">
      <c r="U46" t="s">
        <v>808</v>
      </c>
    </row>
    <row r="47" spans="21:23" x14ac:dyDescent="0.3">
      <c r="U47" t="s">
        <v>826</v>
      </c>
    </row>
    <row r="48" spans="21:23" x14ac:dyDescent="0.3">
      <c r="U48" t="s">
        <v>827</v>
      </c>
      <c r="W48">
        <v>444.5</v>
      </c>
    </row>
    <row r="49" spans="21:23" x14ac:dyDescent="0.3">
      <c r="U49" t="s">
        <v>828</v>
      </c>
      <c r="W49">
        <v>-1</v>
      </c>
    </row>
    <row r="50" spans="21:23" x14ac:dyDescent="0.3">
      <c r="U50" t="s">
        <v>814</v>
      </c>
      <c r="W50">
        <v>136.80000000000001</v>
      </c>
    </row>
    <row r="51" spans="21:23" x14ac:dyDescent="0.3">
      <c r="U51" t="s">
        <v>829</v>
      </c>
      <c r="W51">
        <v>196.6</v>
      </c>
    </row>
    <row r="52" spans="21:23" x14ac:dyDescent="0.3">
      <c r="U52" t="s">
        <v>830</v>
      </c>
      <c r="W52">
        <v>0.4</v>
      </c>
    </row>
    <row r="53" spans="21:23" x14ac:dyDescent="0.3">
      <c r="W53">
        <v>16.7</v>
      </c>
    </row>
    <row r="54" spans="21:23" x14ac:dyDescent="0.3">
      <c r="W54">
        <v>-0.5</v>
      </c>
    </row>
    <row r="55" spans="21:23" x14ac:dyDescent="0.3">
      <c r="U55" t="s">
        <v>808</v>
      </c>
      <c r="W55">
        <v>1.1000000000000001</v>
      </c>
    </row>
    <row r="56" spans="21:23" x14ac:dyDescent="0.3">
      <c r="U56" t="s">
        <v>831</v>
      </c>
      <c r="W56">
        <v>-9.6</v>
      </c>
    </row>
    <row r="57" spans="21:23" x14ac:dyDescent="0.3">
      <c r="U57" t="s">
        <v>832</v>
      </c>
      <c r="W57">
        <v>205.4</v>
      </c>
    </row>
    <row r="58" spans="21:23" x14ac:dyDescent="0.3">
      <c r="U58" t="s">
        <v>808</v>
      </c>
      <c r="W58">
        <v>-29.5</v>
      </c>
    </row>
    <row r="59" spans="21:23" x14ac:dyDescent="0.3">
      <c r="U59" t="s">
        <v>833</v>
      </c>
      <c r="W59">
        <v>-22.9</v>
      </c>
    </row>
    <row r="60" spans="21:23" x14ac:dyDescent="0.3">
      <c r="U60" t="e" cm="1">
        <f t="array" ref="U60">+ Share-based compensation charge</f>
        <v>#NAME?</v>
      </c>
      <c r="W60" s="46">
        <f>SUM(W48:W59)</f>
        <v>938</v>
      </c>
    </row>
    <row r="61" spans="21:23" x14ac:dyDescent="0.3">
      <c r="U61" t="s">
        <v>834</v>
      </c>
      <c r="W61">
        <v>-113.2</v>
      </c>
    </row>
    <row r="62" spans="21:23" x14ac:dyDescent="0.3">
      <c r="U62" t="s">
        <v>835</v>
      </c>
      <c r="W62" s="47">
        <f>SUM(W60:W61)</f>
        <v>824.8</v>
      </c>
    </row>
    <row r="63" spans="21:23" x14ac:dyDescent="0.3">
      <c r="U63" t="s">
        <v>836</v>
      </c>
    </row>
    <row r="64" spans="21:23" x14ac:dyDescent="0.3">
      <c r="U64" t="s">
        <v>837</v>
      </c>
      <c r="W64">
        <v>-146.30000000000001</v>
      </c>
    </row>
    <row r="65" spans="21:23" x14ac:dyDescent="0.3">
      <c r="U65" t="s">
        <v>838</v>
      </c>
      <c r="W65">
        <v>1.7</v>
      </c>
    </row>
    <row r="66" spans="21:23" x14ac:dyDescent="0.3">
      <c r="U66" t="s">
        <v>839</v>
      </c>
      <c r="W66" s="46">
        <f>SUM(W64:W65)</f>
        <v>-144.60000000000002</v>
      </c>
    </row>
    <row r="67" spans="21:23" x14ac:dyDescent="0.3">
      <c r="U67" t="e" cm="1">
        <f t="array" ref="U67">+ Curtailment loss (pension)</f>
        <v>#NAME?</v>
      </c>
      <c r="W67">
        <v>0.5</v>
      </c>
    </row>
    <row r="68" spans="21:23" x14ac:dyDescent="0.3">
      <c r="U68" t="s">
        <v>840</v>
      </c>
      <c r="W68">
        <v>28.4</v>
      </c>
    </row>
    <row r="69" spans="21:23" x14ac:dyDescent="0.3">
      <c r="U69" t="e" cm="1">
        <f t="array" ref="U69">+ Other investments write-off</f>
        <v>#NAME?</v>
      </c>
      <c r="W69">
        <v>-16.7</v>
      </c>
    </row>
    <row r="70" spans="21:23" x14ac:dyDescent="0.3">
      <c r="U70" t="s">
        <v>841</v>
      </c>
    </row>
    <row r="71" spans="21:23" x14ac:dyDescent="0.3">
      <c r="U71" t="s">
        <v>842</v>
      </c>
    </row>
    <row r="72" spans="21:23" x14ac:dyDescent="0.3">
      <c r="U72" t="s">
        <v>843</v>
      </c>
      <c r="W72">
        <v>3.9</v>
      </c>
    </row>
    <row r="73" spans="21:23" x14ac:dyDescent="0.3">
      <c r="U73" t="s">
        <v>814</v>
      </c>
    </row>
    <row r="74" spans="21:23" x14ac:dyDescent="0.3">
      <c r="U74" t="s">
        <v>844</v>
      </c>
      <c r="W74">
        <v>-2.4</v>
      </c>
    </row>
    <row r="75" spans="21:23" x14ac:dyDescent="0.3">
      <c r="U75" t="s">
        <v>845</v>
      </c>
    </row>
    <row r="78" spans="21:23" x14ac:dyDescent="0.3">
      <c r="U78" t="s">
        <v>808</v>
      </c>
      <c r="W78" s="47">
        <f>SUM(W66:W76)</f>
        <v>-130.9</v>
      </c>
    </row>
    <row r="79" spans="21:23" x14ac:dyDescent="0.3">
      <c r="U79" t="s">
        <v>846</v>
      </c>
    </row>
    <row r="80" spans="21:23" x14ac:dyDescent="0.3">
      <c r="U80" t="s">
        <v>808</v>
      </c>
      <c r="W80">
        <v>-19.3</v>
      </c>
    </row>
    <row r="81" spans="21:23" x14ac:dyDescent="0.3">
      <c r="U81" t="s">
        <v>847</v>
      </c>
      <c r="W81">
        <v>-189</v>
      </c>
    </row>
    <row r="82" spans="21:23" x14ac:dyDescent="0.3">
      <c r="U82" t="e" cm="1">
        <f t="array" ref="U82">+ PP&amp;E depreciation</f>
        <v>#NAME?</v>
      </c>
      <c r="W82">
        <v>162.69999999999999</v>
      </c>
    </row>
    <row r="83" spans="21:23" x14ac:dyDescent="0.3">
      <c r="U83" t="s">
        <v>848</v>
      </c>
    </row>
    <row r="84" spans="21:23" x14ac:dyDescent="0.3">
      <c r="U84" t="e" cm="1">
        <f t="array" ref="U84">+ Software amortisation</f>
        <v>#NAME?</v>
      </c>
    </row>
    <row r="85" spans="21:23" x14ac:dyDescent="0.3">
      <c r="U85" t="s">
        <v>849</v>
      </c>
      <c r="W85">
        <v>-40</v>
      </c>
    </row>
    <row r="86" spans="21:23" x14ac:dyDescent="0.3">
      <c r="U86" t="s">
        <v>850</v>
      </c>
    </row>
    <row r="87" spans="21:23" x14ac:dyDescent="0.3">
      <c r="U87" t="s">
        <v>851</v>
      </c>
    </row>
    <row r="88" spans="21:23" x14ac:dyDescent="0.3">
      <c r="U88" t="s">
        <v>814</v>
      </c>
      <c r="W88">
        <v>-171</v>
      </c>
    </row>
    <row r="89" spans="21:23" x14ac:dyDescent="0.3">
      <c r="U89" t="s">
        <v>852</v>
      </c>
      <c r="W89">
        <v>-101.6</v>
      </c>
    </row>
    <row r="90" spans="21:23" x14ac:dyDescent="0.3">
      <c r="U90" t="s">
        <v>853</v>
      </c>
      <c r="W90">
        <v>0.5</v>
      </c>
    </row>
    <row r="92" spans="21:23" x14ac:dyDescent="0.3">
      <c r="U92" t="s">
        <v>854</v>
      </c>
    </row>
    <row r="93" spans="21:23" x14ac:dyDescent="0.3">
      <c r="U93" t="s">
        <v>855</v>
      </c>
    </row>
    <row r="94" spans="21:23" x14ac:dyDescent="0.3">
      <c r="U94" t="s">
        <v>814</v>
      </c>
      <c r="W94">
        <v>126</v>
      </c>
    </row>
    <row r="95" spans="21:23" x14ac:dyDescent="0.3">
      <c r="U95" t="s">
        <v>856</v>
      </c>
    </row>
    <row r="96" spans="21:23" x14ac:dyDescent="0.3">
      <c r="U96" t="s">
        <v>857</v>
      </c>
    </row>
    <row r="97" spans="21:23" x14ac:dyDescent="0.3">
      <c r="W97" s="57">
        <f>SUM(W80:W96)</f>
        <v>-231.70000000000005</v>
      </c>
    </row>
    <row r="98" spans="21:23" x14ac:dyDescent="0.3">
      <c r="W98" s="56">
        <f>W97+W78+W62</f>
        <v>462.19999999999993</v>
      </c>
    </row>
    <row r="99" spans="21:23" x14ac:dyDescent="0.3">
      <c r="U99" t="s">
        <v>808</v>
      </c>
      <c r="W99">
        <v>52.9</v>
      </c>
    </row>
    <row r="100" spans="21:23" x14ac:dyDescent="0.3">
      <c r="U100" t="s">
        <v>858</v>
      </c>
    </row>
    <row r="101" spans="21:23" x14ac:dyDescent="0.3">
      <c r="U101" t="s">
        <v>808</v>
      </c>
      <c r="W101">
        <v>-0.3</v>
      </c>
    </row>
    <row r="102" spans="21:23" x14ac:dyDescent="0.3">
      <c r="U102" t="s">
        <v>125</v>
      </c>
      <c r="W102" s="47">
        <f>SUM(W98:W101)</f>
        <v>514.79999999999995</v>
      </c>
    </row>
    <row r="103" spans="21:23" x14ac:dyDescent="0.3">
      <c r="U103" t="s">
        <v>307</v>
      </c>
    </row>
    <row r="104" spans="21:23" x14ac:dyDescent="0.3">
      <c r="U104" t="s">
        <v>859</v>
      </c>
    </row>
    <row r="105" spans="21:23" x14ac:dyDescent="0.3">
      <c r="U105" t="s">
        <v>860</v>
      </c>
    </row>
    <row r="106" spans="21:23" x14ac:dyDescent="0.3">
      <c r="U106" t="s">
        <v>861</v>
      </c>
    </row>
    <row r="107" spans="21:23" x14ac:dyDescent="0.3">
      <c r="U107" t="s">
        <v>862</v>
      </c>
    </row>
    <row r="108" spans="21:23" x14ac:dyDescent="0.3">
      <c r="U108" t="s">
        <v>814</v>
      </c>
    </row>
    <row r="109" spans="21:23" x14ac:dyDescent="0.3">
      <c r="U109" t="s">
        <v>863</v>
      </c>
    </row>
    <row r="110" spans="21:23" x14ac:dyDescent="0.3">
      <c r="W110">
        <v>474.8</v>
      </c>
    </row>
    <row r="111" spans="21:23" x14ac:dyDescent="0.3">
      <c r="W111">
        <v>60.5</v>
      </c>
    </row>
    <row r="112" spans="21:23" x14ac:dyDescent="0.3">
      <c r="U112" t="s">
        <v>808</v>
      </c>
      <c r="W112">
        <v>720.1</v>
      </c>
    </row>
    <row r="113" spans="21:23" x14ac:dyDescent="0.3">
      <c r="U113" t="s">
        <v>864</v>
      </c>
      <c r="W113">
        <v>5</v>
      </c>
    </row>
    <row r="114" spans="21:23" x14ac:dyDescent="0.3">
      <c r="U114" t="s">
        <v>808</v>
      </c>
      <c r="W114">
        <v>99.2</v>
      </c>
    </row>
    <row r="115" spans="21:23" x14ac:dyDescent="0.3">
      <c r="U115" t="s">
        <v>865</v>
      </c>
      <c r="W115">
        <v>39.4</v>
      </c>
    </row>
    <row r="116" spans="21:23" x14ac:dyDescent="0.3">
      <c r="U116" t="s">
        <v>866</v>
      </c>
      <c r="W116">
        <v>70.400000000000006</v>
      </c>
    </row>
    <row r="117" spans="21:23" x14ac:dyDescent="0.3">
      <c r="U117" t="s">
        <v>814</v>
      </c>
      <c r="W117" s="47">
        <f>SUM(W110:W116)</f>
        <v>1469.4000000000003</v>
      </c>
    </row>
    <row r="118" spans="21:23" x14ac:dyDescent="0.3">
      <c r="U118" t="s">
        <v>867</v>
      </c>
    </row>
    <row r="119" spans="21:23" x14ac:dyDescent="0.3">
      <c r="U119" t="s">
        <v>868</v>
      </c>
    </row>
    <row r="121" spans="21:23" x14ac:dyDescent="0.3">
      <c r="W121">
        <v>536.9</v>
      </c>
    </row>
    <row r="122" spans="21:23" x14ac:dyDescent="0.3">
      <c r="U122" t="s">
        <v>808</v>
      </c>
      <c r="W122">
        <v>1108.0999999999999</v>
      </c>
    </row>
    <row r="123" spans="21:23" x14ac:dyDescent="0.3">
      <c r="U123" t="s">
        <v>869</v>
      </c>
      <c r="W123">
        <v>24.3</v>
      </c>
    </row>
    <row r="124" spans="21:23" x14ac:dyDescent="0.3">
      <c r="U124" t="s">
        <v>808</v>
      </c>
      <c r="W124">
        <v>11.1</v>
      </c>
    </row>
    <row r="125" spans="21:23" x14ac:dyDescent="0.3">
      <c r="U125" t="s">
        <v>870</v>
      </c>
      <c r="W125">
        <v>608.20000000000005</v>
      </c>
    </row>
    <row r="126" spans="21:23" x14ac:dyDescent="0.3">
      <c r="U126" t="s">
        <v>871</v>
      </c>
    </row>
    <row r="127" spans="21:23" x14ac:dyDescent="0.3">
      <c r="U127" t="s">
        <v>814</v>
      </c>
      <c r="W127" s="47">
        <f>SUM(W121:W126)</f>
        <v>2288.6</v>
      </c>
    </row>
    <row r="128" spans="21:23" x14ac:dyDescent="0.3">
      <c r="U128" t="s">
        <v>872</v>
      </c>
    </row>
    <row r="129" spans="21:23" x14ac:dyDescent="0.3">
      <c r="U129" t="s">
        <v>873</v>
      </c>
      <c r="W129" s="2">
        <f>W127+W117</f>
        <v>3758</v>
      </c>
    </row>
    <row r="132" spans="21:23" x14ac:dyDescent="0.3">
      <c r="U132" t="s">
        <v>808</v>
      </c>
      <c r="W132">
        <v>93.4</v>
      </c>
    </row>
    <row r="133" spans="21:23" x14ac:dyDescent="0.3">
      <c r="U133" t="s">
        <v>874</v>
      </c>
      <c r="W133">
        <v>326</v>
      </c>
    </row>
    <row r="134" spans="21:23" x14ac:dyDescent="0.3">
      <c r="U134" t="s">
        <v>808</v>
      </c>
      <c r="W134">
        <v>555.29999999999995</v>
      </c>
    </row>
    <row r="135" spans="21:23" x14ac:dyDescent="0.3">
      <c r="U135" t="s">
        <v>875</v>
      </c>
      <c r="W135">
        <v>170.1</v>
      </c>
    </row>
    <row r="136" spans="21:23" x14ac:dyDescent="0.3">
      <c r="U136" t="s">
        <v>876</v>
      </c>
      <c r="W136">
        <v>37.200000000000003</v>
      </c>
    </row>
    <row r="137" spans="21:23" x14ac:dyDescent="0.3">
      <c r="U137" t="s">
        <v>814</v>
      </c>
      <c r="W137">
        <v>14.8</v>
      </c>
    </row>
    <row r="138" spans="21:23" x14ac:dyDescent="0.3">
      <c r="U138" t="s">
        <v>877</v>
      </c>
      <c r="W138" s="47">
        <f>SUM(W132:W137)</f>
        <v>1196.8</v>
      </c>
    </row>
    <row r="139" spans="21:23" x14ac:dyDescent="0.3">
      <c r="W139" s="48"/>
    </row>
    <row r="140" spans="21:23" x14ac:dyDescent="0.3">
      <c r="U140" t="s">
        <v>878</v>
      </c>
    </row>
    <row r="141" spans="21:23" x14ac:dyDescent="0.3">
      <c r="U141" t="s">
        <v>879</v>
      </c>
    </row>
    <row r="143" spans="21:23" x14ac:dyDescent="0.3">
      <c r="W143">
        <v>837</v>
      </c>
    </row>
    <row r="144" spans="21:23" x14ac:dyDescent="0.3">
      <c r="U144" t="s">
        <v>808</v>
      </c>
      <c r="W144">
        <v>18.600000000000001</v>
      </c>
    </row>
    <row r="145" spans="21:23" x14ac:dyDescent="0.3">
      <c r="U145" t="s">
        <v>880</v>
      </c>
      <c r="W145">
        <v>1015.8</v>
      </c>
    </row>
    <row r="146" spans="21:23" x14ac:dyDescent="0.3">
      <c r="U146" t="s">
        <v>808</v>
      </c>
    </row>
    <row r="147" spans="21:23" x14ac:dyDescent="0.3">
      <c r="U147" t="s">
        <v>881</v>
      </c>
      <c r="W147">
        <v>28.9</v>
      </c>
    </row>
    <row r="148" spans="21:23" x14ac:dyDescent="0.3">
      <c r="U148" t="s">
        <v>882</v>
      </c>
    </row>
    <row r="149" spans="21:23" x14ac:dyDescent="0.3">
      <c r="U149" t="s">
        <v>814</v>
      </c>
      <c r="W149" s="47">
        <f>SUM(W142:W148)</f>
        <v>1900.3000000000002</v>
      </c>
    </row>
    <row r="150" spans="21:23" x14ac:dyDescent="0.3">
      <c r="U150" t="s">
        <v>883</v>
      </c>
      <c r="W150" s="2"/>
    </row>
    <row r="151" spans="21:23" x14ac:dyDescent="0.3">
      <c r="U151" t="s">
        <v>884</v>
      </c>
      <c r="W151" s="2">
        <f>W129-W138-W149</f>
        <v>660.89999999999964</v>
      </c>
    </row>
    <row r="152" spans="21:23" x14ac:dyDescent="0.3">
      <c r="U152" t="s">
        <v>885</v>
      </c>
    </row>
    <row r="153" spans="21:23" x14ac:dyDescent="0.3">
      <c r="U153" t="s">
        <v>886</v>
      </c>
    </row>
    <row r="155" spans="21:23" x14ac:dyDescent="0.3">
      <c r="U155" t="s">
        <v>887</v>
      </c>
    </row>
    <row r="158" spans="21:23" x14ac:dyDescent="0.3">
      <c r="U158" t="s">
        <v>808</v>
      </c>
      <c r="W158" s="2"/>
    </row>
    <row r="159" spans="21:23" x14ac:dyDescent="0.3">
      <c r="U159" t="s">
        <v>888</v>
      </c>
    </row>
    <row r="160" spans="21:23" x14ac:dyDescent="0.3">
      <c r="U160" t="s">
        <v>889</v>
      </c>
      <c r="W160" s="33">
        <v>660.9</v>
      </c>
    </row>
    <row r="161" spans="21:23" x14ac:dyDescent="0.3">
      <c r="U161" t="s">
        <v>808</v>
      </c>
    </row>
    <row r="162" spans="21:23" x14ac:dyDescent="0.3">
      <c r="U162" t="s">
        <v>890</v>
      </c>
      <c r="W162">
        <f>W160-W151</f>
        <v>0</v>
      </c>
    </row>
    <row r="163" spans="21:23" x14ac:dyDescent="0.3">
      <c r="U163" t="s">
        <v>891</v>
      </c>
    </row>
    <row r="164" spans="21:23" x14ac:dyDescent="0.3">
      <c r="U164" t="s">
        <v>892</v>
      </c>
    </row>
    <row r="165" spans="21:23" x14ac:dyDescent="0.3">
      <c r="U165" t="s">
        <v>893</v>
      </c>
    </row>
    <row r="173" spans="21:23" x14ac:dyDescent="0.3">
      <c r="W173" t="e">
        <f>#REF!</f>
        <v>#REF!</v>
      </c>
    </row>
    <row r="174" spans="21:23" x14ac:dyDescent="0.3">
      <c r="W174" t="e">
        <f>#REF!</f>
        <v>#REF!</v>
      </c>
    </row>
    <row r="175" spans="21:23" x14ac:dyDescent="0.3">
      <c r="W175" s="2" t="e">
        <f>SUM(W173:W174)</f>
        <v>#REF!</v>
      </c>
    </row>
    <row r="176" spans="21:23" x14ac:dyDescent="0.3">
      <c r="W176" t="e">
        <f>#REF!</f>
        <v>#REF!</v>
      </c>
    </row>
    <row r="177" spans="23:23" x14ac:dyDescent="0.3">
      <c r="W177" t="e">
        <f>#REF!</f>
        <v>#REF!</v>
      </c>
    </row>
    <row r="178" spans="23:23" x14ac:dyDescent="0.3">
      <c r="W178" t="e">
        <f>#REF!</f>
        <v>#REF!</v>
      </c>
    </row>
    <row r="179" spans="23:23" x14ac:dyDescent="0.3">
      <c r="W179" s="46" t="e">
        <f>SUM(W175:W178)</f>
        <v>#REF!</v>
      </c>
    </row>
    <row r="180" spans="23:23" x14ac:dyDescent="0.3">
      <c r="W180">
        <f>W13</f>
        <v>2231.6999999999998</v>
      </c>
    </row>
    <row r="181" spans="23:23" x14ac:dyDescent="0.3">
      <c r="W181">
        <f>W14</f>
        <v>54.8</v>
      </c>
    </row>
    <row r="182" spans="23:23" x14ac:dyDescent="0.3">
      <c r="W182" s="46" t="e">
        <f>W179-W180-W181</f>
        <v>#REF!</v>
      </c>
    </row>
    <row r="183" spans="23:23" x14ac:dyDescent="0.3">
      <c r="W183">
        <f>W16</f>
        <v>555.79999999999995</v>
      </c>
    </row>
    <row r="184" spans="23:23" x14ac:dyDescent="0.3">
      <c r="W184">
        <f>W17</f>
        <v>246.8</v>
      </c>
    </row>
    <row r="185" spans="23:23" x14ac:dyDescent="0.3">
      <c r="W185">
        <f>W18</f>
        <v>-1.3</v>
      </c>
    </row>
    <row r="186" spans="23:23" x14ac:dyDescent="0.3">
      <c r="W186" s="46" t="e">
        <f>W182-W183-W184+W185</f>
        <v>#REF!</v>
      </c>
    </row>
    <row r="187" spans="23:23" x14ac:dyDescent="0.3">
      <c r="W187">
        <f>W20</f>
        <v>0.5</v>
      </c>
    </row>
    <row r="190" spans="23:23" x14ac:dyDescent="0.3">
      <c r="W190" s="2" t="e">
        <f>SUM(W186:W189)</f>
        <v>#REF!</v>
      </c>
    </row>
    <row r="191" spans="23:23" x14ac:dyDescent="0.3">
      <c r="W191" s="46"/>
    </row>
    <row r="192" spans="23:23" x14ac:dyDescent="0.3">
      <c r="W192">
        <f>-W185</f>
        <v>1.3</v>
      </c>
    </row>
    <row r="195" spans="23:23" x14ac:dyDescent="0.3">
      <c r="W195" s="46" t="e">
        <f>SUM(W190:W194)</f>
        <v>#REF!</v>
      </c>
    </row>
    <row r="196" spans="23:23" x14ac:dyDescent="0.3">
      <c r="W196" s="2"/>
    </row>
    <row r="197" spans="23:23" x14ac:dyDescent="0.3">
      <c r="W197">
        <f>W25</f>
        <v>0.6</v>
      </c>
    </row>
    <row r="198" spans="23:23" x14ac:dyDescent="0.3">
      <c r="W198">
        <f>-W567</f>
        <v>-102.8</v>
      </c>
    </row>
    <row r="199" spans="23:23" x14ac:dyDescent="0.3">
      <c r="W199" s="2">
        <f>W197+W198</f>
        <v>-102.2</v>
      </c>
    </row>
    <row r="202" spans="23:23" x14ac:dyDescent="0.3">
      <c r="W202" s="46" t="e">
        <f>W195+W199+W201</f>
        <v>#REF!</v>
      </c>
    </row>
    <row r="203" spans="23:23" x14ac:dyDescent="0.3">
      <c r="W203" t="e">
        <f>'HISTORICAL FS'!#REF!</f>
        <v>#REF!</v>
      </c>
    </row>
    <row r="204" spans="23:23" x14ac:dyDescent="0.3">
      <c r="W204" s="47" t="e">
        <f>W202-W203</f>
        <v>#REF!</v>
      </c>
    </row>
    <row r="206" spans="23:23" x14ac:dyDescent="0.3">
      <c r="W206" s="2"/>
    </row>
    <row r="207" spans="23:23" x14ac:dyDescent="0.3">
      <c r="W207" s="2"/>
    </row>
    <row r="209" spans="20:26" x14ac:dyDescent="0.3">
      <c r="U209" t="s">
        <v>129</v>
      </c>
    </row>
    <row r="210" spans="20:26" x14ac:dyDescent="0.3">
      <c r="U210" s="12" t="s">
        <v>250</v>
      </c>
    </row>
    <row r="211" spans="20:26" x14ac:dyDescent="0.3">
      <c r="U211" s="41" t="s">
        <v>251</v>
      </c>
    </row>
    <row r="212" spans="20:26" x14ac:dyDescent="0.3">
      <c r="U212" s="12" t="s">
        <v>252</v>
      </c>
    </row>
    <row r="213" spans="20:26" x14ac:dyDescent="0.3">
      <c r="U213" s="12" t="s">
        <v>253</v>
      </c>
    </row>
    <row r="214" spans="20:26" x14ac:dyDescent="0.3">
      <c r="U214" s="12" t="s">
        <v>254</v>
      </c>
    </row>
    <row r="215" spans="20:26" x14ac:dyDescent="0.3">
      <c r="U215" s="12" t="s">
        <v>255</v>
      </c>
    </row>
    <row r="216" spans="20:26" x14ac:dyDescent="0.3">
      <c r="U216" s="13"/>
    </row>
    <row r="217" spans="20:26" x14ac:dyDescent="0.3">
      <c r="U217" s="12"/>
    </row>
    <row r="218" spans="20:26" x14ac:dyDescent="0.3">
      <c r="U218" s="12"/>
    </row>
    <row r="219" spans="20:26" x14ac:dyDescent="0.3">
      <c r="U219" s="2" t="s">
        <v>131</v>
      </c>
    </row>
    <row r="220" spans="20:26" x14ac:dyDescent="0.3">
      <c r="T220" t="s">
        <v>256</v>
      </c>
      <c r="U220" s="12" t="s">
        <v>238</v>
      </c>
      <c r="Z220">
        <f>'rough sheet'!H1046</f>
        <v>2302.6999999999998</v>
      </c>
    </row>
    <row r="221" spans="20:26" x14ac:dyDescent="0.3">
      <c r="T221" t="s">
        <v>257</v>
      </c>
      <c r="U221" s="12"/>
    </row>
    <row r="222" spans="20:26" x14ac:dyDescent="0.3">
      <c r="T222" t="s">
        <v>258</v>
      </c>
      <c r="U222" s="12"/>
      <c r="Y222">
        <v>456.6</v>
      </c>
      <c r="Z222">
        <v>421.1</v>
      </c>
    </row>
    <row r="223" spans="20:26" x14ac:dyDescent="0.3">
      <c r="T223" t="s">
        <v>256</v>
      </c>
      <c r="U223" s="12" t="s">
        <v>239</v>
      </c>
      <c r="Z223">
        <f>'rough sheet'!H1049</f>
        <v>898.5</v>
      </c>
    </row>
    <row r="224" spans="20:26" x14ac:dyDescent="0.3">
      <c r="T224" t="s">
        <v>257</v>
      </c>
      <c r="U224" s="12"/>
    </row>
    <row r="225" spans="20:26" x14ac:dyDescent="0.3">
      <c r="T225" t="s">
        <v>258</v>
      </c>
      <c r="U225" s="12"/>
      <c r="Y225">
        <v>96</v>
      </c>
      <c r="Z225">
        <v>131</v>
      </c>
    </row>
    <row r="226" spans="20:26" x14ac:dyDescent="0.3">
      <c r="T226" t="s">
        <v>256</v>
      </c>
      <c r="U226" s="41" t="s">
        <v>244</v>
      </c>
      <c r="Z226" s="2">
        <f>Z223+Z220</f>
        <v>3201.2</v>
      </c>
    </row>
    <row r="227" spans="20:26" x14ac:dyDescent="0.3">
      <c r="T227" t="s">
        <v>257</v>
      </c>
      <c r="U227" s="41"/>
    </row>
    <row r="228" spans="20:26" x14ac:dyDescent="0.3">
      <c r="T228" t="s">
        <v>258</v>
      </c>
      <c r="U228" s="41"/>
      <c r="Y228">
        <v>517.1</v>
      </c>
      <c r="Z228">
        <v>587.6</v>
      </c>
    </row>
    <row r="229" spans="20:26" x14ac:dyDescent="0.3">
      <c r="T229" t="s">
        <v>256</v>
      </c>
      <c r="U229" s="12" t="s">
        <v>243</v>
      </c>
    </row>
    <row r="230" spans="20:26" x14ac:dyDescent="0.3">
      <c r="T230" t="s">
        <v>257</v>
      </c>
      <c r="U230" s="12"/>
    </row>
    <row r="231" spans="20:26" x14ac:dyDescent="0.3">
      <c r="T231" t="s">
        <v>258</v>
      </c>
      <c r="U231" s="12"/>
    </row>
    <row r="232" spans="20:26" x14ac:dyDescent="0.3">
      <c r="T232" t="s">
        <v>256</v>
      </c>
      <c r="U232" s="12" t="s">
        <v>247</v>
      </c>
    </row>
    <row r="233" spans="20:26" x14ac:dyDescent="0.3">
      <c r="T233" t="s">
        <v>257</v>
      </c>
      <c r="U233" s="12"/>
    </row>
    <row r="234" spans="20:26" x14ac:dyDescent="0.3">
      <c r="T234" t="s">
        <v>258</v>
      </c>
      <c r="U234" s="12"/>
    </row>
    <row r="235" spans="20:26" x14ac:dyDescent="0.3">
      <c r="T235" t="s">
        <v>256</v>
      </c>
      <c r="U235" s="41" t="s">
        <v>246</v>
      </c>
    </row>
    <row r="236" spans="20:26" x14ac:dyDescent="0.3">
      <c r="T236" t="s">
        <v>257</v>
      </c>
      <c r="U236" s="41"/>
    </row>
    <row r="237" spans="20:26" x14ac:dyDescent="0.3">
      <c r="T237" t="s">
        <v>258</v>
      </c>
      <c r="U237" s="41"/>
    </row>
    <row r="238" spans="20:26" x14ac:dyDescent="0.3">
      <c r="T238" t="s">
        <v>256</v>
      </c>
      <c r="U238" s="12" t="s">
        <v>245</v>
      </c>
    </row>
    <row r="239" spans="20:26" x14ac:dyDescent="0.3">
      <c r="T239" t="s">
        <v>257</v>
      </c>
      <c r="U239" s="12"/>
    </row>
    <row r="240" spans="20:26" x14ac:dyDescent="0.3">
      <c r="T240" t="s">
        <v>258</v>
      </c>
      <c r="U240" s="12"/>
    </row>
    <row r="241" spans="20:26" x14ac:dyDescent="0.3">
      <c r="T241" t="s">
        <v>256</v>
      </c>
      <c r="U241" s="12" t="s">
        <v>241</v>
      </c>
    </row>
    <row r="242" spans="20:26" x14ac:dyDescent="0.3">
      <c r="T242" t="s">
        <v>257</v>
      </c>
      <c r="U242" s="12"/>
    </row>
    <row r="243" spans="20:26" x14ac:dyDescent="0.3">
      <c r="T243" t="s">
        <v>258</v>
      </c>
      <c r="U243" s="12"/>
      <c r="Y243">
        <v>31.2</v>
      </c>
      <c r="Z243">
        <v>66.2</v>
      </c>
    </row>
    <row r="244" spans="20:26" x14ac:dyDescent="0.3">
      <c r="T244" t="s">
        <v>256</v>
      </c>
      <c r="U244" s="12" t="s">
        <v>248</v>
      </c>
    </row>
    <row r="245" spans="20:26" x14ac:dyDescent="0.3">
      <c r="T245" t="s">
        <v>257</v>
      </c>
      <c r="U245" s="12"/>
      <c r="Y245">
        <v>1.7</v>
      </c>
      <c r="Z245">
        <v>1.7</v>
      </c>
    </row>
    <row r="246" spans="20:26" x14ac:dyDescent="0.3">
      <c r="T246" t="s">
        <v>258</v>
      </c>
      <c r="U246" s="12"/>
    </row>
    <row r="247" spans="20:26" x14ac:dyDescent="0.3">
      <c r="T247" t="s">
        <v>256</v>
      </c>
      <c r="U247" s="12" t="s">
        <v>260</v>
      </c>
    </row>
    <row r="248" spans="20:26" x14ac:dyDescent="0.3">
      <c r="T248" t="s">
        <v>257</v>
      </c>
      <c r="U248" s="12"/>
    </row>
    <row r="249" spans="20:26" x14ac:dyDescent="0.3">
      <c r="T249" t="s">
        <v>258</v>
      </c>
      <c r="U249" s="12"/>
      <c r="Y249">
        <v>5.8</v>
      </c>
      <c r="Z249">
        <v>7.5</v>
      </c>
    </row>
    <row r="250" spans="20:26" x14ac:dyDescent="0.3">
      <c r="T250" t="s">
        <v>256</v>
      </c>
      <c r="U250" s="41" t="s">
        <v>259</v>
      </c>
    </row>
    <row r="251" spans="20:26" x14ac:dyDescent="0.3">
      <c r="T251" t="s">
        <v>257</v>
      </c>
      <c r="U251" s="41"/>
    </row>
    <row r="252" spans="20:26" x14ac:dyDescent="0.3">
      <c r="T252" t="s">
        <v>258</v>
      </c>
      <c r="U252" s="41"/>
      <c r="Y252">
        <v>27.4</v>
      </c>
      <c r="Z252">
        <v>31.4</v>
      </c>
    </row>
    <row r="253" spans="20:26" x14ac:dyDescent="0.3">
      <c r="T253" t="s">
        <v>256</v>
      </c>
      <c r="U253" s="12" t="s">
        <v>261</v>
      </c>
    </row>
    <row r="254" spans="20:26" x14ac:dyDescent="0.3">
      <c r="T254" t="s">
        <v>257</v>
      </c>
      <c r="U254" s="41"/>
      <c r="Y254">
        <v>53.7</v>
      </c>
      <c r="Z254">
        <v>79.2</v>
      </c>
    </row>
    <row r="255" spans="20:26" x14ac:dyDescent="0.3">
      <c r="T255" t="s">
        <v>258</v>
      </c>
      <c r="U255" s="12"/>
    </row>
    <row r="256" spans="20:26" x14ac:dyDescent="0.3">
      <c r="T256" t="s">
        <v>256</v>
      </c>
      <c r="U256" s="41" t="s">
        <v>242</v>
      </c>
    </row>
    <row r="257" spans="20:26" x14ac:dyDescent="0.3">
      <c r="T257" t="s">
        <v>257</v>
      </c>
      <c r="U257" s="12"/>
      <c r="Y257">
        <v>18.8</v>
      </c>
      <c r="Z257">
        <v>42</v>
      </c>
    </row>
    <row r="258" spans="20:26" x14ac:dyDescent="0.3">
      <c r="T258" t="s">
        <v>258</v>
      </c>
      <c r="U258" s="12"/>
    </row>
    <row r="261" spans="20:26" x14ac:dyDescent="0.3">
      <c r="U261" s="41"/>
    </row>
    <row r="262" spans="20:26" x14ac:dyDescent="0.3">
      <c r="U262" s="12"/>
    </row>
    <row r="263" spans="20:26" x14ac:dyDescent="0.3">
      <c r="U263" s="12" t="s">
        <v>238</v>
      </c>
    </row>
    <row r="264" spans="20:26" x14ac:dyDescent="0.3">
      <c r="U264" s="12"/>
    </row>
    <row r="265" spans="20:26" x14ac:dyDescent="0.3">
      <c r="U265" s="12"/>
    </row>
    <row r="266" spans="20:26" x14ac:dyDescent="0.3">
      <c r="U266" s="12" t="s">
        <v>239</v>
      </c>
    </row>
    <row r="267" spans="20:26" x14ac:dyDescent="0.3">
      <c r="U267" s="12"/>
    </row>
    <row r="268" spans="20:26" x14ac:dyDescent="0.3">
      <c r="U268" s="12"/>
    </row>
    <row r="269" spans="20:26" x14ac:dyDescent="0.3">
      <c r="U269" s="41" t="s">
        <v>244</v>
      </c>
    </row>
    <row r="270" spans="20:26" x14ac:dyDescent="0.3">
      <c r="U270" s="41"/>
    </row>
    <row r="271" spans="20:26" x14ac:dyDescent="0.3">
      <c r="U271" s="41"/>
    </row>
    <row r="272" spans="20:26" x14ac:dyDescent="0.3">
      <c r="U272" s="12" t="s">
        <v>243</v>
      </c>
    </row>
    <row r="273" spans="20:24" x14ac:dyDescent="0.3">
      <c r="U273" s="12"/>
    </row>
    <row r="274" spans="20:24" x14ac:dyDescent="0.3">
      <c r="U274" s="12"/>
    </row>
    <row r="275" spans="20:24" x14ac:dyDescent="0.3">
      <c r="U275" s="12" t="s">
        <v>247</v>
      </c>
    </row>
    <row r="276" spans="20:24" x14ac:dyDescent="0.3">
      <c r="U276" s="12"/>
    </row>
    <row r="277" spans="20:24" x14ac:dyDescent="0.3">
      <c r="U277" s="12"/>
    </row>
    <row r="278" spans="20:24" x14ac:dyDescent="0.3">
      <c r="U278" s="41" t="s">
        <v>246</v>
      </c>
    </row>
    <row r="279" spans="20:24" x14ac:dyDescent="0.3">
      <c r="U279" s="41"/>
    </row>
    <row r="280" spans="20:24" x14ac:dyDescent="0.3">
      <c r="U280" s="41"/>
    </row>
    <row r="282" spans="20:24" x14ac:dyDescent="0.3">
      <c r="U282" s="12" t="s">
        <v>245</v>
      </c>
      <c r="X282" s="51"/>
    </row>
    <row r="283" spans="20:24" x14ac:dyDescent="0.3">
      <c r="U283" s="12"/>
    </row>
    <row r="284" spans="20:24" x14ac:dyDescent="0.3">
      <c r="U284" s="12"/>
      <c r="X284" s="51"/>
    </row>
    <row r="285" spans="20:24" x14ac:dyDescent="0.3">
      <c r="U285" s="41" t="s">
        <v>241</v>
      </c>
      <c r="X285">
        <v>144</v>
      </c>
    </row>
    <row r="286" spans="20:24" x14ac:dyDescent="0.3">
      <c r="T286" s="5"/>
      <c r="U286" s="12" t="s">
        <v>263</v>
      </c>
      <c r="X286">
        <v>104</v>
      </c>
    </row>
    <row r="287" spans="20:24" x14ac:dyDescent="0.3">
      <c r="T287" t="s">
        <v>265</v>
      </c>
      <c r="U287" s="12" t="s">
        <v>264</v>
      </c>
      <c r="X287">
        <v>40</v>
      </c>
    </row>
    <row r="288" spans="20:24" x14ac:dyDescent="0.3">
      <c r="U288" t="s">
        <v>271</v>
      </c>
    </row>
    <row r="289" spans="21:24" x14ac:dyDescent="0.3">
      <c r="U289" t="s">
        <v>272</v>
      </c>
      <c r="X289" s="51"/>
    </row>
    <row r="290" spans="21:24" x14ac:dyDescent="0.3">
      <c r="U290" s="2"/>
      <c r="X290" s="51"/>
    </row>
    <row r="291" spans="21:24" x14ac:dyDescent="0.3">
      <c r="U291" s="2"/>
      <c r="X291" s="51"/>
    </row>
    <row r="292" spans="21:24" x14ac:dyDescent="0.3">
      <c r="U292" s="41" t="s">
        <v>242</v>
      </c>
      <c r="X292" s="51"/>
    </row>
    <row r="293" spans="21:24" x14ac:dyDescent="0.3">
      <c r="U293" s="12" t="s">
        <v>260</v>
      </c>
    </row>
    <row r="294" spans="21:24" x14ac:dyDescent="0.3">
      <c r="U294" s="12" t="s">
        <v>266</v>
      </c>
      <c r="X294" s="51"/>
    </row>
    <row r="295" spans="21:24" x14ac:dyDescent="0.3">
      <c r="U295" s="12" t="s">
        <v>261</v>
      </c>
    </row>
    <row r="296" spans="21:24" x14ac:dyDescent="0.3">
      <c r="U296" t="s">
        <v>267</v>
      </c>
    </row>
    <row r="297" spans="21:24" x14ac:dyDescent="0.3">
      <c r="U297" t="s">
        <v>268</v>
      </c>
      <c r="X297" s="51"/>
    </row>
    <row r="298" spans="21:24" x14ac:dyDescent="0.3">
      <c r="U298" s="12" t="s">
        <v>269</v>
      </c>
    </row>
    <row r="299" spans="21:24" x14ac:dyDescent="0.3">
      <c r="U299" t="s">
        <v>270</v>
      </c>
      <c r="X299" s="51"/>
    </row>
    <row r="308" spans="21:27" x14ac:dyDescent="0.3">
      <c r="W308">
        <f>W110</f>
        <v>474.8</v>
      </c>
    </row>
    <row r="309" spans="21:27" x14ac:dyDescent="0.3">
      <c r="W309">
        <f>W111</f>
        <v>60.5</v>
      </c>
    </row>
    <row r="310" spans="21:27" x14ac:dyDescent="0.3">
      <c r="W310">
        <f>W112</f>
        <v>720.1</v>
      </c>
    </row>
    <row r="314" spans="21:27" x14ac:dyDescent="0.3">
      <c r="U314" t="s">
        <v>285</v>
      </c>
    </row>
    <row r="315" spans="21:27" ht="15.6" x14ac:dyDescent="0.3">
      <c r="U315" s="39" t="s">
        <v>136</v>
      </c>
    </row>
    <row r="316" spans="21:27" x14ac:dyDescent="0.3">
      <c r="U316" t="s">
        <v>262</v>
      </c>
      <c r="Z316">
        <v>165.3</v>
      </c>
      <c r="AA316">
        <v>159.99</v>
      </c>
    </row>
    <row r="317" spans="21:27" x14ac:dyDescent="0.3">
      <c r="U317" t="s">
        <v>286</v>
      </c>
      <c r="Z317">
        <v>76.900000000000006</v>
      </c>
      <c r="AA317">
        <v>99.5</v>
      </c>
    </row>
    <row r="318" spans="21:27" x14ac:dyDescent="0.3">
      <c r="U318" t="s">
        <v>240</v>
      </c>
    </row>
    <row r="319" spans="21:27" x14ac:dyDescent="0.3">
      <c r="U319" t="s">
        <v>241</v>
      </c>
      <c r="Z319">
        <v>66.099999999999994</v>
      </c>
      <c r="AA319">
        <v>63.3</v>
      </c>
    </row>
    <row r="320" spans="21:27" x14ac:dyDescent="0.3">
      <c r="U320" t="s">
        <v>287</v>
      </c>
      <c r="Z320">
        <v>3.2</v>
      </c>
      <c r="AA320">
        <v>2.6</v>
      </c>
    </row>
    <row r="321" spans="20:27" x14ac:dyDescent="0.3">
      <c r="U321" t="s">
        <v>113</v>
      </c>
      <c r="AA321" s="2">
        <f>SUM(AA316:AA320)</f>
        <v>325.39000000000004</v>
      </c>
    </row>
    <row r="325" spans="20:27" x14ac:dyDescent="0.3">
      <c r="U325" s="2" t="s">
        <v>290</v>
      </c>
      <c r="Z325">
        <v>3.4</v>
      </c>
      <c r="AA325">
        <v>0.3</v>
      </c>
    </row>
    <row r="326" spans="20:27" x14ac:dyDescent="0.3">
      <c r="U326" t="s">
        <v>135</v>
      </c>
      <c r="Z326">
        <v>-1.7</v>
      </c>
      <c r="AA326">
        <v>3.8</v>
      </c>
    </row>
    <row r="327" spans="20:27" x14ac:dyDescent="0.3">
      <c r="T327" t="s">
        <v>291</v>
      </c>
      <c r="U327" t="s">
        <v>280</v>
      </c>
    </row>
    <row r="328" spans="20:27" x14ac:dyDescent="0.3">
      <c r="U328" t="s">
        <v>284</v>
      </c>
    </row>
    <row r="330" spans="20:27" x14ac:dyDescent="0.3">
      <c r="U330" s="2" t="s">
        <v>293</v>
      </c>
    </row>
    <row r="331" spans="20:27" x14ac:dyDescent="0.3">
      <c r="U331" t="s">
        <v>292</v>
      </c>
      <c r="Z331">
        <v>32.6</v>
      </c>
      <c r="AA331">
        <v>36.299999999999997</v>
      </c>
    </row>
    <row r="335" spans="20:27" x14ac:dyDescent="0.3">
      <c r="T335" s="2" t="s">
        <v>290</v>
      </c>
    </row>
    <row r="336" spans="20:27" x14ac:dyDescent="0.3">
      <c r="T336" t="s">
        <v>135</v>
      </c>
      <c r="Y336">
        <v>3.4</v>
      </c>
      <c r="Z336">
        <v>0.3</v>
      </c>
    </row>
    <row r="337" spans="20:26" x14ac:dyDescent="0.3">
      <c r="T337" t="s">
        <v>280</v>
      </c>
      <c r="Y337">
        <v>-1.7</v>
      </c>
      <c r="Z337">
        <v>3.8</v>
      </c>
    </row>
    <row r="338" spans="20:26" x14ac:dyDescent="0.3">
      <c r="T338" t="s">
        <v>284</v>
      </c>
    </row>
    <row r="340" spans="20:26" x14ac:dyDescent="0.3">
      <c r="T340" t="s">
        <v>282</v>
      </c>
    </row>
    <row r="341" spans="20:26" x14ac:dyDescent="0.3">
      <c r="T341" t="s">
        <v>283</v>
      </c>
    </row>
    <row r="342" spans="20:26" x14ac:dyDescent="0.3">
      <c r="T342" s="2" t="s">
        <v>288</v>
      </c>
    </row>
    <row r="343" spans="20:26" x14ac:dyDescent="0.3">
      <c r="T343" t="s">
        <v>289</v>
      </c>
    </row>
    <row r="346" spans="20:26" x14ac:dyDescent="0.3">
      <c r="T346" s="2" t="s">
        <v>293</v>
      </c>
    </row>
    <row r="347" spans="20:26" x14ac:dyDescent="0.3">
      <c r="T347" t="s">
        <v>292</v>
      </c>
      <c r="Y347">
        <v>32.6</v>
      </c>
      <c r="Z347">
        <v>36.299999999999997</v>
      </c>
    </row>
    <row r="349" spans="20:26" x14ac:dyDescent="0.3">
      <c r="T349" t="s">
        <v>341</v>
      </c>
    </row>
    <row r="350" spans="20:26" x14ac:dyDescent="0.3">
      <c r="T350" t="s">
        <v>350</v>
      </c>
    </row>
    <row r="351" spans="20:26" x14ac:dyDescent="0.3">
      <c r="T351" t="s">
        <v>351</v>
      </c>
    </row>
    <row r="352" spans="20:26" x14ac:dyDescent="0.3">
      <c r="T352" t="s">
        <v>344</v>
      </c>
    </row>
    <row r="354" spans="20:26" x14ac:dyDescent="0.3">
      <c r="T354" s="2" t="s">
        <v>348</v>
      </c>
    </row>
    <row r="355" spans="20:26" x14ac:dyDescent="0.3">
      <c r="T355" s="2" t="str">
        <f>'HISTORICAL FS'!C112</f>
        <v xml:space="preserve">Property Plant &amp; Equipment </v>
      </c>
    </row>
    <row r="356" spans="20:26" x14ac:dyDescent="0.3">
      <c r="T356" t="s">
        <v>341</v>
      </c>
      <c r="V356">
        <f>'rough sheet'!W650</f>
        <v>474.8</v>
      </c>
      <c r="W356">
        <f>V359</f>
        <v>601.1</v>
      </c>
      <c r="X356">
        <f>W359</f>
        <v>644.79999999999995</v>
      </c>
      <c r="Y356">
        <f>X359</f>
        <v>687.5</v>
      </c>
      <c r="Z356">
        <f>Y359</f>
        <v>686.4</v>
      </c>
    </row>
    <row r="357" spans="20:26" x14ac:dyDescent="0.3">
      <c r="T357" t="s">
        <v>342</v>
      </c>
    </row>
    <row r="358" spans="20:26" x14ac:dyDescent="0.3">
      <c r="T358" t="s">
        <v>343</v>
      </c>
    </row>
    <row r="359" spans="20:26" x14ac:dyDescent="0.3">
      <c r="T359" t="s">
        <v>344</v>
      </c>
      <c r="V359">
        <f>'HISTORICAL FS'!E112</f>
        <v>601.1</v>
      </c>
      <c r="W359">
        <f>'HISTORICAL FS'!F112</f>
        <v>644.79999999999995</v>
      </c>
      <c r="X359">
        <f>'HISTORICAL FS'!G112</f>
        <v>687.5</v>
      </c>
      <c r="Y359">
        <f>'HISTORICAL FS'!H112</f>
        <v>686.4</v>
      </c>
      <c r="Z359">
        <f>'HISTORICAL FS'!I112</f>
        <v>667.7</v>
      </c>
    </row>
    <row r="361" spans="20:26" x14ac:dyDescent="0.3">
      <c r="T361" s="2" t="s">
        <v>326</v>
      </c>
    </row>
    <row r="362" spans="20:26" x14ac:dyDescent="0.3">
      <c r="T362" s="2" t="s">
        <v>345</v>
      </c>
    </row>
    <row r="363" spans="20:26" x14ac:dyDescent="0.3">
      <c r="T363" t="s">
        <v>341</v>
      </c>
      <c r="X363">
        <v>53.4</v>
      </c>
      <c r="Y363">
        <f>X366</f>
        <v>53.3</v>
      </c>
      <c r="Z363">
        <f>Y366</f>
        <v>51.4</v>
      </c>
    </row>
    <row r="364" spans="20:26" x14ac:dyDescent="0.3">
      <c r="T364" t="s">
        <v>342</v>
      </c>
      <c r="Y364">
        <v>3.1</v>
      </c>
    </row>
    <row r="365" spans="20:26" x14ac:dyDescent="0.3">
      <c r="T365" t="s">
        <v>343</v>
      </c>
      <c r="X365">
        <f>0.2+-0.1</f>
        <v>0.1</v>
      </c>
      <c r="Y365">
        <v>0.2</v>
      </c>
    </row>
    <row r="366" spans="20:26" x14ac:dyDescent="0.3">
      <c r="T366" t="s">
        <v>344</v>
      </c>
      <c r="V366">
        <v>26.4</v>
      </c>
      <c r="W366">
        <v>39.299999999999997</v>
      </c>
      <c r="X366">
        <f>X363+X364-X365</f>
        <v>53.3</v>
      </c>
      <c r="Y366">
        <v>51.4</v>
      </c>
      <c r="Z366">
        <v>16.5</v>
      </c>
    </row>
    <row r="369" spans="20:26" x14ac:dyDescent="0.3">
      <c r="T369" s="2" t="s">
        <v>346</v>
      </c>
    </row>
    <row r="370" spans="20:26" x14ac:dyDescent="0.3">
      <c r="T370" t="s">
        <v>341</v>
      </c>
    </row>
    <row r="371" spans="20:26" x14ac:dyDescent="0.3">
      <c r="T371" t="s">
        <v>342</v>
      </c>
    </row>
    <row r="372" spans="20:26" x14ac:dyDescent="0.3">
      <c r="T372" t="s">
        <v>343</v>
      </c>
    </row>
    <row r="373" spans="20:26" x14ac:dyDescent="0.3">
      <c r="T373" t="s">
        <v>344</v>
      </c>
      <c r="V373">
        <v>2.5</v>
      </c>
      <c r="W373">
        <v>1.2</v>
      </c>
      <c r="X373">
        <v>1.2</v>
      </c>
    </row>
    <row r="376" spans="20:26" x14ac:dyDescent="0.3">
      <c r="T376" s="2" t="s">
        <v>333</v>
      </c>
    </row>
    <row r="377" spans="20:26" x14ac:dyDescent="0.3">
      <c r="T377" t="s">
        <v>341</v>
      </c>
      <c r="Z377">
        <f>Y380</f>
        <v>634.6</v>
      </c>
    </row>
    <row r="378" spans="20:26" x14ac:dyDescent="0.3">
      <c r="T378" t="s">
        <v>342</v>
      </c>
    </row>
    <row r="379" spans="20:26" x14ac:dyDescent="0.3">
      <c r="T379" t="s">
        <v>343</v>
      </c>
    </row>
    <row r="380" spans="20:26" x14ac:dyDescent="0.3">
      <c r="T380" t="s">
        <v>344</v>
      </c>
      <c r="V380">
        <v>518.29999999999995</v>
      </c>
      <c r="W380">
        <v>589.79999999999995</v>
      </c>
      <c r="X380">
        <v>634.29999999999995</v>
      </c>
      <c r="Y380">
        <v>634.6</v>
      </c>
      <c r="Z380">
        <v>650.70000000000005</v>
      </c>
    </row>
    <row r="383" spans="20:26" x14ac:dyDescent="0.3">
      <c r="T383" s="2" t="s">
        <v>338</v>
      </c>
    </row>
    <row r="384" spans="20:26" x14ac:dyDescent="0.3">
      <c r="T384" t="s">
        <v>341</v>
      </c>
      <c r="Y384">
        <f>X387</f>
        <v>0.3</v>
      </c>
      <c r="Z384">
        <f>Y387</f>
        <v>0.4</v>
      </c>
    </row>
    <row r="385" spans="20:26" x14ac:dyDescent="0.3">
      <c r="T385" t="s">
        <v>342</v>
      </c>
    </row>
    <row r="386" spans="20:26" x14ac:dyDescent="0.3">
      <c r="T386" t="s">
        <v>343</v>
      </c>
    </row>
    <row r="387" spans="20:26" x14ac:dyDescent="0.3">
      <c r="T387" t="s">
        <v>344</v>
      </c>
      <c r="V387">
        <v>53.9</v>
      </c>
      <c r="W387">
        <v>14.5</v>
      </c>
      <c r="X387">
        <v>0.3</v>
      </c>
      <c r="Y387">
        <v>0.4</v>
      </c>
      <c r="Z387">
        <v>0.5</v>
      </c>
    </row>
    <row r="389" spans="20:26" x14ac:dyDescent="0.3">
      <c r="T389" s="2" t="s">
        <v>349</v>
      </c>
      <c r="Y389" s="2">
        <f>Y387+Y380+Y373+Y366</f>
        <v>686.4</v>
      </c>
      <c r="Z389" s="2">
        <f>Z387+Z380+Z373+Z366</f>
        <v>667.7</v>
      </c>
    </row>
    <row r="390" spans="20:26" x14ac:dyDescent="0.3">
      <c r="Y390">
        <f>Z389-Y389</f>
        <v>-18.699999999999932</v>
      </c>
    </row>
    <row r="392" spans="20:26" x14ac:dyDescent="0.3">
      <c r="T392" s="2" t="s">
        <v>347</v>
      </c>
    </row>
    <row r="393" spans="20:26" x14ac:dyDescent="0.3">
      <c r="T393" t="s">
        <v>341</v>
      </c>
    </row>
    <row r="394" spans="20:26" x14ac:dyDescent="0.3">
      <c r="T394" t="s">
        <v>342</v>
      </c>
    </row>
    <row r="395" spans="20:26" x14ac:dyDescent="0.3">
      <c r="T395" t="s">
        <v>343</v>
      </c>
    </row>
    <row r="396" spans="20:26" x14ac:dyDescent="0.3">
      <c r="T396" t="s">
        <v>344</v>
      </c>
    </row>
    <row r="481" spans="23:26" x14ac:dyDescent="0.3">
      <c r="W481">
        <v>2368.4</v>
      </c>
    </row>
    <row r="482" spans="23:26" x14ac:dyDescent="0.3">
      <c r="W482">
        <v>954.5</v>
      </c>
    </row>
    <row r="483" spans="23:26" x14ac:dyDescent="0.3">
      <c r="W483">
        <v>33.200000000000003</v>
      </c>
      <c r="Z483">
        <v>2368.4</v>
      </c>
    </row>
    <row r="484" spans="23:26" x14ac:dyDescent="0.3">
      <c r="W484" s="2">
        <v>954.5</v>
      </c>
      <c r="Z484">
        <v>954.5</v>
      </c>
    </row>
    <row r="485" spans="23:26" x14ac:dyDescent="0.3">
      <c r="W485">
        <v>250.3</v>
      </c>
      <c r="Z485">
        <v>33.200000000000003</v>
      </c>
    </row>
    <row r="486" spans="23:26" x14ac:dyDescent="0.3">
      <c r="Z486">
        <v>954.5</v>
      </c>
    </row>
    <row r="487" spans="23:26" x14ac:dyDescent="0.3">
      <c r="W487">
        <v>7.4</v>
      </c>
      <c r="Z487">
        <v>250.3</v>
      </c>
    </row>
    <row r="488" spans="23:26" x14ac:dyDescent="0.3">
      <c r="W488">
        <f>6.8+5.2+0.1+33.2</f>
        <v>45.300000000000004</v>
      </c>
    </row>
    <row r="489" spans="23:26" x14ac:dyDescent="0.3">
      <c r="W489" s="2">
        <f>SUM(W487:W488)</f>
        <v>52.7</v>
      </c>
      <c r="Z489">
        <v>7.4</v>
      </c>
    </row>
    <row r="490" spans="23:26" x14ac:dyDescent="0.3">
      <c r="W490" s="47">
        <f>W481+W484+W485+W486+W489</f>
        <v>3625.9</v>
      </c>
      <c r="Z490">
        <v>45.300000000000004</v>
      </c>
    </row>
    <row r="491" spans="23:26" x14ac:dyDescent="0.3">
      <c r="Z491">
        <v>52.7</v>
      </c>
    </row>
    <row r="492" spans="23:26" x14ac:dyDescent="0.3">
      <c r="Z492">
        <f>Z483+Z484+Z487+Z491</f>
        <v>3625.9</v>
      </c>
    </row>
    <row r="497" spans="23:26" x14ac:dyDescent="0.3">
      <c r="Z497">
        <v>2021</v>
      </c>
    </row>
    <row r="498" spans="23:26" x14ac:dyDescent="0.3">
      <c r="Z498">
        <v>3534.4</v>
      </c>
    </row>
    <row r="499" spans="23:26" x14ac:dyDescent="0.3">
      <c r="W499">
        <v>157.4</v>
      </c>
    </row>
    <row r="500" spans="23:26" x14ac:dyDescent="0.3">
      <c r="W500">
        <v>2</v>
      </c>
    </row>
    <row r="501" spans="23:26" x14ac:dyDescent="0.3">
      <c r="Z501">
        <v>2368.4</v>
      </c>
    </row>
    <row r="502" spans="23:26" x14ac:dyDescent="0.3">
      <c r="W502" s="47">
        <f>W499+W500</f>
        <v>159.4</v>
      </c>
    </row>
    <row r="503" spans="23:26" x14ac:dyDescent="0.3">
      <c r="Z503">
        <v>954.5</v>
      </c>
    </row>
    <row r="504" spans="23:26" x14ac:dyDescent="0.3">
      <c r="Z504">
        <v>250.3</v>
      </c>
    </row>
    <row r="505" spans="23:26" x14ac:dyDescent="0.3">
      <c r="W505">
        <v>0.6</v>
      </c>
    </row>
    <row r="506" spans="23:26" x14ac:dyDescent="0.3">
      <c r="Z506">
        <v>7.4</v>
      </c>
    </row>
    <row r="507" spans="23:26" x14ac:dyDescent="0.3">
      <c r="Z507">
        <f>6.9+5.2+33.2</f>
        <v>45.300000000000004</v>
      </c>
    </row>
    <row r="508" spans="23:26" x14ac:dyDescent="0.3">
      <c r="W508">
        <v>68.5</v>
      </c>
      <c r="Z508" s="47">
        <f>Z506+Z507</f>
        <v>52.7</v>
      </c>
    </row>
    <row r="509" spans="23:26" x14ac:dyDescent="0.3">
      <c r="Z509">
        <f>Z501+Z503+Z504+Z508</f>
        <v>3625.9</v>
      </c>
    </row>
    <row r="510" spans="23:26" x14ac:dyDescent="0.3">
      <c r="Z510">
        <f>Z509-Z498</f>
        <v>91.5</v>
      </c>
    </row>
    <row r="511" spans="23:26" x14ac:dyDescent="0.3">
      <c r="W511" s="47">
        <f>W505+W508+W509+W510</f>
        <v>69.099999999999994</v>
      </c>
    </row>
    <row r="513" spans="23:23" x14ac:dyDescent="0.3">
      <c r="W513" s="2">
        <f>W511-W502+W493+W490</f>
        <v>3535.6</v>
      </c>
    </row>
    <row r="551" spans="23:23" x14ac:dyDescent="0.3">
      <c r="W551" s="2"/>
    </row>
    <row r="552" spans="23:23" x14ac:dyDescent="0.3">
      <c r="W552">
        <f>W18</f>
        <v>-1.3</v>
      </c>
    </row>
    <row r="565" spans="23:23" x14ac:dyDescent="0.3">
      <c r="W565">
        <v>59.9</v>
      </c>
    </row>
    <row r="566" spans="23:23" x14ac:dyDescent="0.3">
      <c r="W566">
        <v>42.9</v>
      </c>
    </row>
    <row r="567" spans="23:23" x14ac:dyDescent="0.3">
      <c r="W567" s="2">
        <f>SUM(W565:W566)</f>
        <v>102.8</v>
      </c>
    </row>
    <row r="568" spans="23:23" x14ac:dyDescent="0.3">
      <c r="W568">
        <v>-0.1</v>
      </c>
    </row>
    <row r="569" spans="23:23" x14ac:dyDescent="0.3">
      <c r="W569" s="2">
        <f>SUM(W567:W568)</f>
        <v>102.7</v>
      </c>
    </row>
    <row r="570" spans="23:23" x14ac:dyDescent="0.3">
      <c r="W570" s="2"/>
    </row>
    <row r="573" spans="23:23" x14ac:dyDescent="0.3">
      <c r="W573">
        <v>0.4</v>
      </c>
    </row>
    <row r="574" spans="23:23" x14ac:dyDescent="0.3">
      <c r="W574">
        <v>0.2</v>
      </c>
    </row>
    <row r="575" spans="23:23" x14ac:dyDescent="0.3">
      <c r="W575" s="2">
        <f>SUM(W573:W574)</f>
        <v>0.60000000000000009</v>
      </c>
    </row>
    <row r="577" spans="23:23" x14ac:dyDescent="0.3">
      <c r="W577">
        <v>2021</v>
      </c>
    </row>
    <row r="578" spans="23:23" x14ac:dyDescent="0.3">
      <c r="W578" t="s">
        <v>316</v>
      </c>
    </row>
    <row r="579" spans="23:23" x14ac:dyDescent="0.3">
      <c r="W579">
        <f>W27</f>
        <v>342.40000000000038</v>
      </c>
    </row>
    <row r="580" spans="23:23" x14ac:dyDescent="0.3">
      <c r="W580">
        <f>-W28</f>
        <v>55.7</v>
      </c>
    </row>
    <row r="581" spans="23:23" x14ac:dyDescent="0.3">
      <c r="W581">
        <f>W29</f>
        <v>286.70000000000039</v>
      </c>
    </row>
    <row r="584" spans="23:23" x14ac:dyDescent="0.3">
      <c r="W584">
        <f>W192+W193+W194+W201+W568</f>
        <v>1.2</v>
      </c>
    </row>
    <row r="585" spans="23:23" x14ac:dyDescent="0.3">
      <c r="W585" s="60" t="e">
        <f>#REF!</f>
        <v>#REF!</v>
      </c>
    </row>
    <row r="591" spans="23:23" x14ac:dyDescent="0.3">
      <c r="W591" s="2"/>
    </row>
    <row r="602" spans="23:23" x14ac:dyDescent="0.3">
      <c r="W602" s="2"/>
    </row>
    <row r="603" spans="23:23" x14ac:dyDescent="0.3">
      <c r="W603" s="2"/>
    </row>
    <row r="606" spans="23:23" x14ac:dyDescent="0.3">
      <c r="W606" s="2"/>
    </row>
    <row r="607" spans="23:23" x14ac:dyDescent="0.3">
      <c r="W607" s="2">
        <f>SUM(W605:W606)</f>
        <v>0</v>
      </c>
    </row>
    <row r="612" spans="23:23" x14ac:dyDescent="0.3">
      <c r="W612" s="2"/>
    </row>
    <row r="613" spans="23:23" x14ac:dyDescent="0.3">
      <c r="W613" s="2"/>
    </row>
    <row r="617" spans="23:23" x14ac:dyDescent="0.3">
      <c r="W617" s="2"/>
    </row>
    <row r="650" spans="23:23" x14ac:dyDescent="0.3">
      <c r="W650">
        <f>W110</f>
        <v>474.8</v>
      </c>
    </row>
    <row r="691" spans="23:23" x14ac:dyDescent="0.3">
      <c r="W691">
        <v>0.1</v>
      </c>
    </row>
    <row r="693" spans="23:23" x14ac:dyDescent="0.3">
      <c r="W693">
        <v>117.2</v>
      </c>
    </row>
    <row r="695" spans="23:23" x14ac:dyDescent="0.3">
      <c r="W695" s="46">
        <f>SUM(W691:W694)</f>
        <v>117.3</v>
      </c>
    </row>
    <row r="696" spans="23:23" x14ac:dyDescent="0.3">
      <c r="W696">
        <v>137.9</v>
      </c>
    </row>
    <row r="697" spans="23:23" x14ac:dyDescent="0.3">
      <c r="W697" s="47">
        <f>SUM(W695:W696)</f>
        <v>255.2</v>
      </c>
    </row>
    <row r="700" spans="23:23" x14ac:dyDescent="0.3">
      <c r="W700">
        <v>15.1</v>
      </c>
    </row>
    <row r="701" spans="23:23" x14ac:dyDescent="0.3">
      <c r="W701">
        <v>2</v>
      </c>
    </row>
    <row r="702" spans="23:23" x14ac:dyDescent="0.3">
      <c r="W702">
        <v>129.19999999999999</v>
      </c>
    </row>
    <row r="728" spans="23:23" x14ac:dyDescent="0.3">
      <c r="W728">
        <v>23.3</v>
      </c>
    </row>
    <row r="740" spans="2:9" ht="36.6" x14ac:dyDescent="0.7">
      <c r="C740" s="50" t="s">
        <v>237</v>
      </c>
    </row>
    <row r="741" spans="2:9" x14ac:dyDescent="0.3">
      <c r="B741" s="2"/>
    </row>
    <row r="742" spans="2:9" ht="28.8" x14ac:dyDescent="0.55000000000000004">
      <c r="C742" s="42" t="s">
        <v>71</v>
      </c>
    </row>
    <row r="743" spans="2:9" ht="28.8" x14ac:dyDescent="0.55000000000000004">
      <c r="C743" s="42"/>
    </row>
    <row r="744" spans="2:9" x14ac:dyDescent="0.3">
      <c r="C744" s="2" t="str">
        <f>C1045</f>
        <v>SEGMENT</v>
      </c>
    </row>
    <row r="745" spans="2:9" x14ac:dyDescent="0.3">
      <c r="C745" t="str">
        <f>C1046</f>
        <v>Online UK</v>
      </c>
      <c r="H745">
        <f>H1046</f>
        <v>2302.6999999999998</v>
      </c>
      <c r="I745">
        <f>I1046</f>
        <v>2587.4</v>
      </c>
    </row>
    <row r="746" spans="2:9" x14ac:dyDescent="0.3">
      <c r="C746" t="str">
        <f>C1049</f>
        <v>Online (International)</v>
      </c>
      <c r="D746">
        <v>2020</v>
      </c>
      <c r="H746">
        <f>H1049</f>
        <v>898.5</v>
      </c>
      <c r="I746">
        <f>I1049</f>
        <v>1280.4000000000001</v>
      </c>
    </row>
    <row r="747" spans="2:9" x14ac:dyDescent="0.3">
      <c r="C747" s="2" t="str">
        <f>C1051</f>
        <v>Next Online</v>
      </c>
      <c r="D747">
        <v>2054.6999999999998</v>
      </c>
      <c r="E747" s="2">
        <f>E1051</f>
        <v>2863.1</v>
      </c>
      <c r="F747" s="2">
        <f>F1051</f>
        <v>2743.6</v>
      </c>
      <c r="G747" s="2">
        <f>G1051</f>
        <v>2901.4</v>
      </c>
      <c r="H747" s="2">
        <f>H1051</f>
        <v>3201.2</v>
      </c>
      <c r="I747" s="2">
        <f>I1051</f>
        <v>3867.8</v>
      </c>
    </row>
    <row r="748" spans="2:9" x14ac:dyDescent="0.3">
      <c r="C748" t="str">
        <f>C1054</f>
        <v>Next Retail</v>
      </c>
      <c r="D748">
        <v>1848.2</v>
      </c>
      <c r="E748">
        <f>E1054</f>
        <v>1425.9</v>
      </c>
      <c r="F748">
        <f>F1054</f>
        <v>1849.1</v>
      </c>
      <c r="G748">
        <f>G1054</f>
        <v>1843.7</v>
      </c>
      <c r="H748">
        <f>H1054</f>
        <v>1821.2</v>
      </c>
      <c r="I748">
        <f>I1054</f>
        <v>1888</v>
      </c>
    </row>
    <row r="749" spans="2:9" x14ac:dyDescent="0.3">
      <c r="C749" s="2" t="s">
        <v>278</v>
      </c>
      <c r="D749" s="2">
        <f t="shared" ref="D749:I749" si="0">SUM(D747:D748)</f>
        <v>3902.8999999999996</v>
      </c>
      <c r="E749" s="2">
        <f t="shared" si="0"/>
        <v>4289</v>
      </c>
      <c r="F749" s="2">
        <f t="shared" si="0"/>
        <v>4592.7</v>
      </c>
      <c r="G749" s="2">
        <f t="shared" si="0"/>
        <v>4745.1000000000004</v>
      </c>
      <c r="H749" s="2">
        <f t="shared" si="0"/>
        <v>5022.3999999999996</v>
      </c>
      <c r="I749" s="2">
        <f t="shared" si="0"/>
        <v>5755.8</v>
      </c>
    </row>
    <row r="750" spans="2:9" x14ac:dyDescent="0.3">
      <c r="C750" t="str">
        <f>C1057</f>
        <v>Next Finance/credit account interest</v>
      </c>
      <c r="E750">
        <f>E1057</f>
        <v>249.4</v>
      </c>
      <c r="F750">
        <f>F1057</f>
        <v>274.39999999999998</v>
      </c>
      <c r="G750">
        <f>G1057</f>
        <v>292.7</v>
      </c>
      <c r="H750">
        <f>H1057</f>
        <v>301</v>
      </c>
      <c r="I750">
        <f>I1057</f>
        <v>305.7</v>
      </c>
    </row>
    <row r="751" spans="2:9" x14ac:dyDescent="0.3">
      <c r="C751" t="str">
        <f>C1060</f>
        <v>Total Platform +next sale of investment</v>
      </c>
      <c r="E751">
        <f>E1060</f>
        <v>11.3</v>
      </c>
      <c r="F751">
        <f>F1060</f>
        <v>75.7</v>
      </c>
      <c r="G751">
        <f>G1060</f>
        <v>363.8</v>
      </c>
      <c r="H751">
        <f>H1060</f>
        <v>690</v>
      </c>
      <c r="I751">
        <f>I1060</f>
        <v>734.3</v>
      </c>
    </row>
    <row r="752" spans="2:9" x14ac:dyDescent="0.3">
      <c r="C752" t="str">
        <f>C1066</f>
        <v>Other business Activities</v>
      </c>
      <c r="E752">
        <f>E1066</f>
        <v>76.2</v>
      </c>
      <c r="F752">
        <f>F1066</f>
        <v>91.199999999999989</v>
      </c>
      <c r="G752">
        <f>G1066</f>
        <v>89.4</v>
      </c>
      <c r="H752">
        <f>H1066</f>
        <v>104.7</v>
      </c>
      <c r="I752">
        <f>I1066</f>
        <v>105.5</v>
      </c>
    </row>
    <row r="753" spans="3:17" x14ac:dyDescent="0.3">
      <c r="C753" s="2" t="str">
        <f>'HISTORICAL FS'!C12</f>
        <v>Revenue</v>
      </c>
      <c r="E753" s="46">
        <f>SUM(E749:E752)</f>
        <v>4625.8999999999996</v>
      </c>
      <c r="F753" s="46">
        <f>SUM(F749:F752)</f>
        <v>5033.9999999999991</v>
      </c>
      <c r="G753" s="46">
        <f>SUM(G749:G752)</f>
        <v>5491</v>
      </c>
      <c r="H753" s="46">
        <f>SUM(H749:H752)</f>
        <v>6118.0999999999995</v>
      </c>
      <c r="I753" s="46">
        <f>SUM(I749:I752)</f>
        <v>6901.3</v>
      </c>
      <c r="O753" s="40"/>
    </row>
    <row r="754" spans="3:17" x14ac:dyDescent="0.3">
      <c r="C754" s="2" t="str">
        <f>'HISTORICAL FS'!C13</f>
        <v>cost of sales</v>
      </c>
      <c r="E754">
        <f>'HISTORICAL FS'!E13</f>
        <v>2625.3</v>
      </c>
      <c r="F754">
        <f>'HISTORICAL FS'!F13</f>
        <v>2827.7</v>
      </c>
      <c r="G754">
        <f>'HISTORICAL FS'!G13</f>
        <v>3034.5</v>
      </c>
      <c r="H754">
        <f>'HISTORICAL FS'!H13</f>
        <v>3456.5</v>
      </c>
      <c r="I754">
        <f>'HISTORICAL FS'!I13</f>
        <v>3847.5</v>
      </c>
      <c r="J754" s="40"/>
      <c r="K754" s="40"/>
      <c r="L754" s="40"/>
      <c r="M754" s="40"/>
      <c r="N754" s="40"/>
      <c r="O754" s="40"/>
      <c r="P754" s="40"/>
      <c r="Q754" s="40"/>
    </row>
    <row r="755" spans="3:17" x14ac:dyDescent="0.3">
      <c r="C755" t="str">
        <f>'HISTORICAL FS'!C14</f>
        <v>impairment losses on customer and other receivables</v>
      </c>
      <c r="E755">
        <f>'HISTORICAL FS'!E14</f>
        <v>28.6</v>
      </c>
      <c r="F755">
        <f>'HISTORICAL FS'!F14</f>
        <v>31</v>
      </c>
      <c r="G755">
        <f>'HISTORICAL FS'!G14</f>
        <v>36</v>
      </c>
      <c r="H755">
        <f>'HISTORICAL FS'!H14</f>
        <v>19.399999999999999</v>
      </c>
      <c r="I755">
        <f>'HISTORICAL FS'!I14</f>
        <v>7.1</v>
      </c>
      <c r="J755" s="2"/>
      <c r="K755" s="2"/>
      <c r="L755" s="2"/>
      <c r="M755" s="2"/>
      <c r="N755" s="2"/>
      <c r="O755" s="2"/>
      <c r="P755" s="2"/>
      <c r="Q755" s="2"/>
    </row>
    <row r="756" spans="3:17" x14ac:dyDescent="0.3">
      <c r="C756" s="2" t="str">
        <f>'HISTORICAL FS'!C15</f>
        <v>Gross profit/(loss)</v>
      </c>
      <c r="E756" s="46">
        <f>E753-E754-E755</f>
        <v>1971.9999999999995</v>
      </c>
      <c r="F756" s="46">
        <f>F753-F754-F755</f>
        <v>2175.2999999999993</v>
      </c>
      <c r="G756" s="46">
        <f>G753-G754-G755</f>
        <v>2420.5</v>
      </c>
      <c r="H756" s="46">
        <f>H753-H754-H755</f>
        <v>2642.1999999999994</v>
      </c>
      <c r="I756" s="46">
        <f>I753-I754-I755</f>
        <v>3046.7000000000003</v>
      </c>
    </row>
    <row r="757" spans="3:17" x14ac:dyDescent="0.3">
      <c r="C757" t="str">
        <f>'HISTORICAL FS'!C16</f>
        <v>Distribution costs</v>
      </c>
      <c r="E757">
        <f>'HISTORICAL FS'!E16</f>
        <v>693.7</v>
      </c>
      <c r="F757">
        <f>'HISTORICAL FS'!F16</f>
        <v>750</v>
      </c>
      <c r="G757">
        <f>'HISTORICAL FS'!G16</f>
        <v>794.1</v>
      </c>
      <c r="H757">
        <f>'HISTORICAL FS'!H16</f>
        <v>878.8</v>
      </c>
      <c r="I757">
        <f>'HISTORICAL FS'!I16</f>
        <v>1027.0999999999999</v>
      </c>
    </row>
    <row r="758" spans="3:17" x14ac:dyDescent="0.3">
      <c r="C758" t="str">
        <f>'HISTORICAL FS'!C17</f>
        <v>Administrative expenses</v>
      </c>
      <c r="E758">
        <f>'HISTORICAL FS'!E17</f>
        <v>380.2</v>
      </c>
      <c r="F758">
        <f>'HISTORICAL FS'!F17</f>
        <v>481.8</v>
      </c>
      <c r="G758">
        <f>'HISTORICAL FS'!G17</f>
        <v>657.7</v>
      </c>
      <c r="H758">
        <f>'HISTORICAL FS'!H17</f>
        <v>670.6</v>
      </c>
      <c r="I758">
        <f>'HISTORICAL FS'!I17</f>
        <v>742.4</v>
      </c>
    </row>
    <row r="759" spans="3:17" x14ac:dyDescent="0.3">
      <c r="C759" t="str">
        <f>'HISTORICAL FS'!C18</f>
        <v>other losses/Gain-on financial instruments</v>
      </c>
      <c r="E759">
        <f>'HISTORICAL FS'!E18</f>
        <v>2.5</v>
      </c>
      <c r="F759">
        <f>'HISTORICAL FS'!F18</f>
        <v>-16.3</v>
      </c>
      <c r="G759">
        <f>'HISTORICAL FS'!G18</f>
        <v>12.3</v>
      </c>
      <c r="H759">
        <f>'HISTORICAL FS'!H18</f>
        <v>3.4</v>
      </c>
      <c r="I759">
        <f>'HISTORICAL FS'!I18</f>
        <v>-3.4</v>
      </c>
      <c r="L759" s="2"/>
    </row>
    <row r="760" spans="3:17" x14ac:dyDescent="0.3">
      <c r="C760" s="2" t="str">
        <f>'HISTORICAL FS'!C19</f>
        <v>Trading profit</v>
      </c>
      <c r="E760" s="46">
        <f>E756-E757-E758+E759</f>
        <v>900.59999999999945</v>
      </c>
      <c r="F760" s="46">
        <f>F756-F757-F758+F759</f>
        <v>927.19999999999936</v>
      </c>
      <c r="G760" s="46">
        <f>G756-G757-G758+G759</f>
        <v>981</v>
      </c>
      <c r="H760" s="46">
        <f>H756-H757-H758+H759</f>
        <v>1096.1999999999994</v>
      </c>
      <c r="I760" s="46">
        <f>I756-I757-I758+I759</f>
        <v>1273.8000000000002</v>
      </c>
    </row>
    <row r="761" spans="3:17" x14ac:dyDescent="0.3">
      <c r="C761" t="str">
        <f>'HISTORICAL FS'!C20</f>
        <v>share of results of associates and joint ventures</v>
      </c>
      <c r="E761">
        <f>'HISTORICAL FS'!E20</f>
        <v>4.8</v>
      </c>
      <c r="F761">
        <f>'HISTORICAL FS'!F20</f>
        <v>14.3</v>
      </c>
      <c r="G761">
        <f>'HISTORICAL FS'!G20</f>
        <v>6.9</v>
      </c>
      <c r="H761">
        <f>'HISTORICAL FS'!H20</f>
        <v>6.7</v>
      </c>
      <c r="I761">
        <f>'HISTORICAL FS'!I20</f>
        <v>7.9</v>
      </c>
    </row>
    <row r="762" spans="3:17" x14ac:dyDescent="0.3">
      <c r="C762" t="str">
        <f>'HISTORICAL FS'!C21</f>
        <v>Impairment in associates and joint ventures</v>
      </c>
      <c r="H762">
        <f>'HISTORICAL FS'!H21</f>
        <v>-13</v>
      </c>
      <c r="I762">
        <f>'HISTORICAL FS'!I21</f>
        <v>-2.9</v>
      </c>
    </row>
    <row r="763" spans="3:17" x14ac:dyDescent="0.3">
      <c r="C763" t="str">
        <f>'HISTORICAL FS'!C22</f>
        <v>Exceptional items- curtailment loss</v>
      </c>
      <c r="H763">
        <f>'HISTORICAL FS'!H22</f>
        <v>-14.5</v>
      </c>
    </row>
    <row r="764" spans="3:17" x14ac:dyDescent="0.3">
      <c r="C764" s="2" t="str">
        <f>'HISTORICAL FS'!C23</f>
        <v>Operating profit/(loss)</v>
      </c>
      <c r="E764" s="46">
        <f>SUM(E760:E763)</f>
        <v>905.39999999999941</v>
      </c>
      <c r="F764" s="46">
        <f>SUM(F760:F763)</f>
        <v>941.49999999999932</v>
      </c>
      <c r="G764" s="46">
        <f>SUM(G760:G763)</f>
        <v>987.9</v>
      </c>
      <c r="H764" s="46">
        <f>SUM(H760:H763)</f>
        <v>1075.3999999999994</v>
      </c>
      <c r="I764" s="46">
        <f>SUM(I760:I763)</f>
        <v>1278.8000000000002</v>
      </c>
    </row>
    <row r="765" spans="3:17" x14ac:dyDescent="0.3">
      <c r="C765" s="2"/>
      <c r="E765" s="2"/>
      <c r="F765" s="2"/>
      <c r="G765" s="2"/>
      <c r="H765" s="2"/>
      <c r="I765" s="2"/>
    </row>
    <row r="766" spans="3:17" x14ac:dyDescent="0.3">
      <c r="C766" s="2" t="s">
        <v>894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3:17" x14ac:dyDescent="0.3">
      <c r="C767" t="str">
        <f>'HISTORICAL FS'!C18</f>
        <v>other losses/Gain-on financial instruments</v>
      </c>
      <c r="E767">
        <f>-E759</f>
        <v>-2.5</v>
      </c>
      <c r="F767">
        <f>-F759</f>
        <v>16.3</v>
      </c>
      <c r="G767">
        <f>-G759</f>
        <v>-12.3</v>
      </c>
      <c r="H767">
        <f>-H759</f>
        <v>-3.4</v>
      </c>
      <c r="I767">
        <f>-I759</f>
        <v>3.4</v>
      </c>
      <c r="J767" s="2"/>
      <c r="K767" s="2"/>
      <c r="L767" s="2"/>
      <c r="M767" s="2"/>
      <c r="N767" s="2"/>
      <c r="O767" s="2"/>
      <c r="P767" s="2"/>
      <c r="Q767" s="2"/>
    </row>
    <row r="768" spans="3:17" x14ac:dyDescent="0.3">
      <c r="C768" t="str">
        <f>'HISTORICAL FS'!C22</f>
        <v>Exceptional items- curtailment loss</v>
      </c>
      <c r="F768" s="2"/>
      <c r="G768" s="2"/>
      <c r="H768">
        <f>-H763</f>
        <v>14.5</v>
      </c>
      <c r="J768" s="2"/>
      <c r="K768" s="2"/>
      <c r="L768" s="2"/>
      <c r="M768" s="2"/>
      <c r="N768" s="2"/>
      <c r="O768" s="2"/>
      <c r="P768" s="2"/>
      <c r="Q768" s="2"/>
    </row>
    <row r="769" spans="2:17" x14ac:dyDescent="0.3">
      <c r="B769" s="77">
        <v>2.9</v>
      </c>
      <c r="C769" t="str">
        <f>'HISTORICAL FS'!C21</f>
        <v>Impairment in associates and joint ventures</v>
      </c>
      <c r="F769">
        <v>-0.7</v>
      </c>
      <c r="G769" s="2"/>
      <c r="H769">
        <v>7.3</v>
      </c>
      <c r="I769" s="2"/>
      <c r="J769" s="2"/>
      <c r="K769" s="2"/>
      <c r="L769" s="2"/>
      <c r="M769" s="2"/>
      <c r="N769" s="2"/>
      <c r="O769" s="2"/>
      <c r="P769" s="2"/>
      <c r="Q769" s="2"/>
    </row>
    <row r="770" spans="2:17" x14ac:dyDescent="0.3">
      <c r="C770" t="s">
        <v>581</v>
      </c>
      <c r="E770">
        <v>0.2</v>
      </c>
      <c r="J770" s="2"/>
      <c r="K770" s="2"/>
      <c r="L770" s="2"/>
      <c r="M770" s="2"/>
      <c r="N770" s="2"/>
      <c r="O770" s="2"/>
      <c r="P770" s="2"/>
      <c r="Q770" s="2"/>
    </row>
    <row r="771" spans="2:17" ht="15.6" x14ac:dyDescent="0.3">
      <c r="C771" t="str">
        <f>C1711</f>
        <v>Job Retention Scheme receipts</v>
      </c>
      <c r="E771">
        <f>E1711</f>
        <v>-16.2</v>
      </c>
      <c r="J771" s="2"/>
      <c r="K771" s="67"/>
    </row>
    <row r="772" spans="2:17" ht="15.6" x14ac:dyDescent="0.3">
      <c r="C772" t="str">
        <f>C1708</f>
        <v>Gain on lease modifications, early exit and reassessed lease term</v>
      </c>
      <c r="E772">
        <f>E1708</f>
        <v>-3.8</v>
      </c>
      <c r="F772">
        <f>F1708</f>
        <v>-1.4</v>
      </c>
      <c r="G772">
        <f>G1708</f>
        <v>-2.5</v>
      </c>
      <c r="H772">
        <f>H1708</f>
        <v>-5</v>
      </c>
      <c r="I772">
        <f>I1708</f>
        <v>-1</v>
      </c>
      <c r="J772" s="2"/>
      <c r="K772" s="67"/>
    </row>
    <row r="773" spans="2:17" x14ac:dyDescent="0.3">
      <c r="C773" t="s">
        <v>566</v>
      </c>
      <c r="I773">
        <f>I2105</f>
        <v>2.4</v>
      </c>
      <c r="J773" s="2"/>
      <c r="K773" s="2"/>
      <c r="L773" s="2"/>
      <c r="M773" s="2"/>
      <c r="N773" s="2"/>
      <c r="O773" s="2"/>
      <c r="P773" s="2"/>
      <c r="Q773" s="2"/>
    </row>
    <row r="774" spans="2:17" x14ac:dyDescent="0.3">
      <c r="C774" t="s">
        <v>578</v>
      </c>
      <c r="E774">
        <f>E1998</f>
        <v>-3.1</v>
      </c>
      <c r="F774">
        <f>F1998</f>
        <v>-2.7</v>
      </c>
      <c r="J774" s="2"/>
      <c r="K774" s="2"/>
      <c r="L774" s="2"/>
      <c r="M774" s="2"/>
      <c r="N774" s="2"/>
      <c r="O774" s="2"/>
      <c r="P774" s="2"/>
      <c r="Q774" s="2"/>
    </row>
    <row r="775" spans="2:17" x14ac:dyDescent="0.3">
      <c r="C775" t="s">
        <v>570</v>
      </c>
      <c r="E775">
        <f>E2006</f>
        <v>-1.2</v>
      </c>
      <c r="F775">
        <f>F2006</f>
        <v>-34.9</v>
      </c>
      <c r="G775">
        <f>G2006</f>
        <v>-5.9</v>
      </c>
      <c r="H775">
        <f>H2006</f>
        <v>-1.7</v>
      </c>
      <c r="J775" s="2"/>
      <c r="K775" s="2"/>
      <c r="L775" s="2"/>
      <c r="M775" s="2"/>
      <c r="N775" s="2"/>
      <c r="O775" s="2"/>
      <c r="P775" s="2"/>
      <c r="Q775" s="2"/>
    </row>
    <row r="776" spans="2:17" x14ac:dyDescent="0.3">
      <c r="B776" s="77">
        <v>1.8</v>
      </c>
      <c r="C776" t="s">
        <v>579</v>
      </c>
      <c r="H776">
        <v>1.6</v>
      </c>
      <c r="J776" s="2"/>
      <c r="K776" s="2"/>
      <c r="L776" s="2"/>
      <c r="M776" s="2"/>
      <c r="N776" s="2"/>
      <c r="O776" s="2"/>
      <c r="P776" s="2"/>
      <c r="Q776" s="2"/>
    </row>
    <row r="777" spans="2:17" x14ac:dyDescent="0.3">
      <c r="C777" t="s">
        <v>573</v>
      </c>
      <c r="G777">
        <v>0.7</v>
      </c>
      <c r="I777">
        <v>3.2</v>
      </c>
      <c r="J777" s="2"/>
      <c r="K777" s="2"/>
      <c r="L777" s="2"/>
      <c r="M777" s="2"/>
      <c r="N777" s="2"/>
      <c r="O777" s="2"/>
      <c r="P777" s="2"/>
      <c r="Q777" s="2"/>
    </row>
    <row r="778" spans="2:17" x14ac:dyDescent="0.3">
      <c r="C778" t="s">
        <v>575</v>
      </c>
      <c r="H778">
        <v>6.4</v>
      </c>
      <c r="J778" s="2"/>
      <c r="K778" s="2"/>
      <c r="L778" s="2"/>
      <c r="M778" s="2"/>
      <c r="N778" s="2"/>
      <c r="O778" s="2"/>
      <c r="P778" s="2"/>
      <c r="Q778" s="2"/>
    </row>
    <row r="779" spans="2:17" x14ac:dyDescent="0.3">
      <c r="B779" s="77">
        <v>1.46</v>
      </c>
      <c r="C779" t="s">
        <v>574</v>
      </c>
      <c r="E779">
        <v>0.5</v>
      </c>
      <c r="F779">
        <v>-3.9</v>
      </c>
      <c r="G779">
        <v>-0.6</v>
      </c>
      <c r="H779">
        <v>4.9400000000000004</v>
      </c>
      <c r="I779">
        <v>3.44</v>
      </c>
      <c r="J779" s="2"/>
      <c r="K779" s="2"/>
      <c r="L779" s="2"/>
      <c r="M779" s="2"/>
      <c r="N779" s="2"/>
      <c r="O779" s="2"/>
      <c r="P779" s="2"/>
      <c r="Q779" s="2"/>
    </row>
    <row r="780" spans="2:17" x14ac:dyDescent="0.3">
      <c r="C780" t="s">
        <v>558</v>
      </c>
      <c r="E780">
        <f>'HISTORICAL FS'!E54</f>
        <v>19.899999999999999</v>
      </c>
      <c r="F780">
        <f>'HISTORICAL FS'!F54</f>
        <v>24.3</v>
      </c>
      <c r="G780">
        <f>'HISTORICAL FS'!G54</f>
        <v>31.9</v>
      </c>
      <c r="H780">
        <f>'HISTORICAL FS'!H54</f>
        <v>40.9</v>
      </c>
      <c r="I780">
        <f>'HISTORICAL FS'!I54</f>
        <v>43.1</v>
      </c>
      <c r="J780" s="2"/>
      <c r="K780" s="2"/>
      <c r="L780" s="2"/>
      <c r="M780" s="2"/>
      <c r="N780" s="2"/>
      <c r="O780" s="2"/>
      <c r="P780" s="2"/>
      <c r="Q780" s="2"/>
    </row>
    <row r="781" spans="2:17" x14ac:dyDescent="0.3">
      <c r="C781" t="s">
        <v>536</v>
      </c>
      <c r="E781">
        <f>E2188</f>
        <v>0</v>
      </c>
      <c r="F781">
        <f>F2188</f>
        <v>4.3</v>
      </c>
      <c r="G781">
        <f>G2188</f>
        <v>9.8000000000000007</v>
      </c>
      <c r="H781">
        <f>H2188</f>
        <v>19</v>
      </c>
      <c r="I781">
        <f>I2188</f>
        <v>18.399999999999999</v>
      </c>
      <c r="J781" s="2"/>
      <c r="K781" s="2"/>
      <c r="L781" s="2"/>
      <c r="M781" s="2"/>
      <c r="N781" s="2"/>
      <c r="O781" s="2"/>
      <c r="P781" s="2"/>
      <c r="Q781" s="2"/>
    </row>
    <row r="782" spans="2:17" x14ac:dyDescent="0.3">
      <c r="C782" t="str">
        <f>C1371</f>
        <v>Bad debt provision release</v>
      </c>
      <c r="H782">
        <f>-H1371</f>
        <v>-10</v>
      </c>
      <c r="I782">
        <f>-I1371</f>
        <v>-20</v>
      </c>
      <c r="J782" s="2"/>
      <c r="K782" s="2"/>
      <c r="L782" s="2"/>
      <c r="M782" s="2"/>
      <c r="N782" s="2"/>
      <c r="O782" s="2"/>
      <c r="P782" s="2"/>
      <c r="Q782" s="2"/>
    </row>
    <row r="783" spans="2:17" x14ac:dyDescent="0.3">
      <c r="C783" t="str">
        <f>C1372</f>
        <v>property provision/ IT impairment</v>
      </c>
      <c r="I783">
        <f>-I1372</f>
        <v>8</v>
      </c>
      <c r="J783" s="2"/>
      <c r="K783" s="2"/>
      <c r="L783" s="2"/>
      <c r="M783" s="2"/>
      <c r="N783" s="2"/>
      <c r="O783" s="2"/>
      <c r="P783" s="2"/>
      <c r="Q783" s="2"/>
    </row>
    <row r="784" spans="2:17" x14ac:dyDescent="0.3">
      <c r="C784" t="str">
        <f>C1702</f>
        <v>Gain on sale and leasebacks</v>
      </c>
      <c r="E784">
        <f>E1702</f>
        <v>-13.4</v>
      </c>
      <c r="F784">
        <f>F1702</f>
        <v>-17.7</v>
      </c>
      <c r="G784">
        <f>G1702</f>
        <v>-1.6</v>
      </c>
      <c r="I784">
        <f>I1702</f>
        <v>-16.3</v>
      </c>
      <c r="J784" s="2"/>
      <c r="K784" s="2"/>
      <c r="L784" s="2"/>
      <c r="M784" s="2"/>
      <c r="N784" s="2"/>
      <c r="O784" s="2"/>
      <c r="P784" s="2"/>
      <c r="Q784" s="2"/>
    </row>
    <row r="785" spans="3:17" x14ac:dyDescent="0.3">
      <c r="C785" s="2" t="s">
        <v>895</v>
      </c>
      <c r="E785" s="46">
        <f>SUM(E764:E784)</f>
        <v>885.79999999999939</v>
      </c>
      <c r="F785" s="46">
        <f>SUM(F764:F784)</f>
        <v>925.09999999999911</v>
      </c>
      <c r="G785" s="46">
        <f>SUM(G764:G784)</f>
        <v>1007.4</v>
      </c>
      <c r="H785" s="46">
        <f>SUM(H764:H784)</f>
        <v>1149.9399999999994</v>
      </c>
      <c r="I785" s="46">
        <f>SUM(I764:I784)</f>
        <v>1323.4400000000005</v>
      </c>
      <c r="J785" s="2"/>
      <c r="K785" s="2"/>
      <c r="L785" s="2"/>
      <c r="M785" s="2"/>
      <c r="N785" s="2"/>
      <c r="O785" s="2"/>
      <c r="P785" s="2"/>
      <c r="Q785" s="2"/>
    </row>
    <row r="786" spans="3:17" x14ac:dyDescent="0.3">
      <c r="C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3:17" x14ac:dyDescent="0.3">
      <c r="C787" t="str">
        <f>'HISTORICAL FS'!C24</f>
        <v>Gain on Reiss transaction- exceptional items</v>
      </c>
      <c r="G787">
        <f>'HISTORICAL FS'!G24</f>
        <v>108.6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3:17" x14ac:dyDescent="0.3">
      <c r="C788" t="str">
        <f>'HISTORICAL FS'!C25</f>
        <v>Finance income</v>
      </c>
      <c r="E788">
        <f>'HISTORICAL FS'!E25</f>
        <v>4.2</v>
      </c>
      <c r="F788">
        <f>'HISTORICAL FS'!F25</f>
        <v>5.7</v>
      </c>
      <c r="G788">
        <f>'HISTORICAL FS'!G25</f>
        <v>6.8</v>
      </c>
      <c r="H788">
        <f>'HISTORICAL FS'!H25</f>
        <v>8.1999999999999993</v>
      </c>
      <c r="I788">
        <f>'HISTORICAL FS'!I25</f>
        <v>11</v>
      </c>
      <c r="J788" s="2"/>
      <c r="K788" s="2"/>
      <c r="L788" s="2"/>
      <c r="M788" s="2"/>
      <c r="N788" s="2"/>
      <c r="O788" s="2"/>
      <c r="P788" s="2"/>
      <c r="Q788" s="2"/>
    </row>
    <row r="789" spans="3:17" x14ac:dyDescent="0.3">
      <c r="C789" t="str">
        <f>'HISTORICAL FS'!C26</f>
        <v>finance costs</v>
      </c>
      <c r="E789">
        <f>'HISTORICAL FS'!E26</f>
        <v>-86.5</v>
      </c>
      <c r="F789">
        <f>'HISTORICAL FS'!F26</f>
        <v>-77.900000000000006</v>
      </c>
      <c r="G789">
        <f>'HISTORICAL FS'!G26</f>
        <v>-87.5</v>
      </c>
      <c r="H789">
        <f>'HISTORICAL FS'!H26</f>
        <v>-96.6</v>
      </c>
      <c r="I789">
        <f>'HISTORICAL FS'!I26</f>
        <v>-97.2</v>
      </c>
      <c r="J789" s="2"/>
      <c r="K789" s="2"/>
      <c r="L789" s="2"/>
      <c r="M789" s="2"/>
      <c r="N789" s="2"/>
      <c r="O789" s="2"/>
      <c r="P789" s="2"/>
      <c r="Q789" s="2"/>
    </row>
    <row r="790" spans="3:17" x14ac:dyDescent="0.3">
      <c r="C790" s="2" t="s">
        <v>302</v>
      </c>
      <c r="E790" s="2">
        <f>E788+E789</f>
        <v>-82.3</v>
      </c>
      <c r="F790" s="2">
        <f>F788+F789</f>
        <v>-72.2</v>
      </c>
      <c r="G790" s="2">
        <f>G788+G789</f>
        <v>-80.7</v>
      </c>
      <c r="H790" s="2">
        <f>H788+H789</f>
        <v>-88.399999999999991</v>
      </c>
      <c r="I790" s="2">
        <f>I788+I789</f>
        <v>-86.2</v>
      </c>
      <c r="J790" s="2"/>
      <c r="K790" s="2"/>
      <c r="L790" s="2"/>
      <c r="M790" s="2"/>
      <c r="N790" s="2"/>
      <c r="O790" s="2"/>
      <c r="P790" s="2"/>
      <c r="Q790" s="2"/>
    </row>
    <row r="791" spans="3:17" x14ac:dyDescent="0.3">
      <c r="C791" s="2"/>
      <c r="E791" s="48">
        <f>E785+E787+E790</f>
        <v>803.49999999999943</v>
      </c>
      <c r="F791" s="48">
        <f>F785+F787+F790</f>
        <v>852.89999999999907</v>
      </c>
      <c r="G791" s="48">
        <f>G785+G787+G790</f>
        <v>1035.3</v>
      </c>
      <c r="H791" s="48">
        <f>H785+H787+H790</f>
        <v>1061.5399999999993</v>
      </c>
      <c r="I791" s="48">
        <f>I785+I787+I790</f>
        <v>1237.2400000000005</v>
      </c>
    </row>
    <row r="792" spans="3:17" x14ac:dyDescent="0.3">
      <c r="C792" s="2" t="s">
        <v>896</v>
      </c>
      <c r="E792" s="2"/>
      <c r="F792" s="2"/>
      <c r="G792" s="2"/>
      <c r="H792" s="2"/>
      <c r="I792" s="2"/>
    </row>
    <row r="793" spans="3:17" x14ac:dyDescent="0.3">
      <c r="C793" t="str">
        <f>C787</f>
        <v>Gain on Reiss transaction- exceptional items</v>
      </c>
      <c r="E793" s="2"/>
      <c r="F793" s="2"/>
      <c r="G793">
        <f>-'HISTORICAL FS'!G24</f>
        <v>-108.6</v>
      </c>
      <c r="H793" s="2"/>
      <c r="I793" s="2"/>
    </row>
    <row r="794" spans="3:17" x14ac:dyDescent="0.3">
      <c r="C794" t="str">
        <f>C2052</f>
        <v>discount unwind</v>
      </c>
      <c r="E794">
        <f>E2052</f>
        <v>0</v>
      </c>
      <c r="F794">
        <f>F2052</f>
        <v>0.8</v>
      </c>
      <c r="G794">
        <f>G2052</f>
        <v>0.5</v>
      </c>
      <c r="H794">
        <f>H2052</f>
        <v>0.2</v>
      </c>
      <c r="I794">
        <f>I2052</f>
        <v>1</v>
      </c>
    </row>
    <row r="795" spans="3:17" x14ac:dyDescent="0.3">
      <c r="C795" s="2" t="s">
        <v>897</v>
      </c>
      <c r="E795" s="46">
        <f>E791+E793+E794</f>
        <v>803.49999999999943</v>
      </c>
      <c r="F795" s="46">
        <f>F791+F793+F794</f>
        <v>853.69999999999902</v>
      </c>
      <c r="G795" s="46">
        <f>G791+G793+G794</f>
        <v>927.19999999999993</v>
      </c>
      <c r="H795" s="46">
        <f>H791+H793+H794</f>
        <v>1061.7399999999993</v>
      </c>
      <c r="I795" s="46">
        <f>I791+I793+I794</f>
        <v>1238.2400000000005</v>
      </c>
    </row>
    <row r="796" spans="3:17" x14ac:dyDescent="0.3">
      <c r="C796" t="str">
        <f>'HISTORICAL FS'!C28</f>
        <v>Taxation</v>
      </c>
      <c r="E796">
        <f>G1487</f>
        <v>140.69999999999999</v>
      </c>
      <c r="F796">
        <f>J1487</f>
        <v>154.69999999999999</v>
      </c>
      <c r="G796">
        <f>M1487</f>
        <v>193.15</v>
      </c>
      <c r="H796">
        <f>P1487</f>
        <v>262.48500000000001</v>
      </c>
      <c r="I796">
        <f>S1487</f>
        <v>306.01000000000005</v>
      </c>
    </row>
    <row r="797" spans="3:17" x14ac:dyDescent="0.3">
      <c r="C797" s="2" t="str">
        <f>'HISTORICAL FS'!C29</f>
        <v>Net Profit</v>
      </c>
      <c r="E797" s="47">
        <f>E795-E796</f>
        <v>662.7999999999995</v>
      </c>
      <c r="F797" s="47">
        <f>F795-F796</f>
        <v>698.99999999999909</v>
      </c>
      <c r="G797" s="47">
        <f>G795-G796</f>
        <v>734.05</v>
      </c>
      <c r="H797" s="47">
        <f>H795-H796</f>
        <v>799.25499999999931</v>
      </c>
      <c r="I797" s="47">
        <f>I795-I796</f>
        <v>932.23000000000047</v>
      </c>
      <c r="K797" s="2"/>
    </row>
    <row r="799" spans="3:17" x14ac:dyDescent="0.3">
      <c r="D799" s="2"/>
      <c r="E799" s="2"/>
      <c r="G799" s="2"/>
      <c r="H799" s="2"/>
      <c r="J799" s="2"/>
      <c r="K799" s="2"/>
      <c r="M799" s="2"/>
      <c r="N799" s="2"/>
      <c r="P799" s="2"/>
      <c r="Q799" s="2"/>
    </row>
    <row r="800" spans="3:17" x14ac:dyDescent="0.3">
      <c r="C800" t="str">
        <f>'HISTORICAL FS'!C32</f>
        <v>Profit attributable to:</v>
      </c>
      <c r="D800" s="2"/>
      <c r="E800" s="2"/>
      <c r="G800" s="2"/>
      <c r="H800" s="2"/>
      <c r="J800" s="2"/>
      <c r="K800" s="2"/>
      <c r="M800" s="2"/>
      <c r="N800" s="2"/>
      <c r="P800" s="2"/>
      <c r="Q800" s="2"/>
    </row>
    <row r="801" spans="2:9" x14ac:dyDescent="0.3">
      <c r="C801" t="s">
        <v>118</v>
      </c>
    </row>
    <row r="802" spans="2:9" x14ac:dyDescent="0.3">
      <c r="C802" s="41" t="s">
        <v>145</v>
      </c>
    </row>
    <row r="803" spans="2:9" x14ac:dyDescent="0.3">
      <c r="C803" s="41"/>
    </row>
    <row r="804" spans="2:9" x14ac:dyDescent="0.3">
      <c r="C804" s="41"/>
    </row>
    <row r="805" spans="2:9" x14ac:dyDescent="0.3">
      <c r="C805" s="41" t="s">
        <v>166</v>
      </c>
    </row>
    <row r="806" spans="2:9" x14ac:dyDescent="0.3">
      <c r="C806" s="12" t="s">
        <v>167</v>
      </c>
    </row>
    <row r="807" spans="2:9" x14ac:dyDescent="0.3">
      <c r="C807" s="12" t="s">
        <v>168</v>
      </c>
    </row>
    <row r="808" spans="2:9" x14ac:dyDescent="0.3">
      <c r="C808" s="12"/>
    </row>
    <row r="809" spans="2:9" x14ac:dyDescent="0.3">
      <c r="C809" s="41" t="s">
        <v>146</v>
      </c>
    </row>
    <row r="810" spans="2:9" x14ac:dyDescent="0.3">
      <c r="C810" s="12" t="s">
        <v>119</v>
      </c>
    </row>
    <row r="811" spans="2:9" x14ac:dyDescent="0.3">
      <c r="C811" s="12" t="s">
        <v>120</v>
      </c>
    </row>
    <row r="812" spans="2:9" x14ac:dyDescent="0.3">
      <c r="C812" s="12"/>
    </row>
    <row r="813" spans="2:9" x14ac:dyDescent="0.3">
      <c r="C813" s="12"/>
    </row>
    <row r="814" spans="2:9" x14ac:dyDescent="0.3">
      <c r="B814">
        <f>A785</f>
        <v>0</v>
      </c>
      <c r="C814" t="str">
        <f>C785</f>
        <v>Adjusted/Cleaned EBIT</v>
      </c>
      <c r="E814" s="2">
        <f>E785</f>
        <v>885.79999999999939</v>
      </c>
      <c r="F814" s="2">
        <f>F785</f>
        <v>925.09999999999911</v>
      </c>
      <c r="G814" s="2">
        <f>G785</f>
        <v>1007.4</v>
      </c>
      <c r="H814" s="2">
        <f>H785</f>
        <v>1149.9399999999994</v>
      </c>
      <c r="I814" s="2">
        <f>I785</f>
        <v>1323.4400000000005</v>
      </c>
    </row>
    <row r="815" spans="2:9" x14ac:dyDescent="0.3">
      <c r="C815" s="12" t="s">
        <v>324</v>
      </c>
      <c r="E815">
        <f>E2036</f>
        <v>217.5</v>
      </c>
      <c r="F815">
        <f>F2036</f>
        <v>208.1</v>
      </c>
      <c r="G815">
        <f>G2036</f>
        <v>212.60000000000002</v>
      </c>
      <c r="H815">
        <f>H2036</f>
        <v>259.10000000000002</v>
      </c>
      <c r="I815">
        <f>I2036</f>
        <v>270.5</v>
      </c>
    </row>
    <row r="816" spans="2:9" x14ac:dyDescent="0.3">
      <c r="C816" s="12" t="s">
        <v>281</v>
      </c>
      <c r="E816">
        <f>E2017</f>
        <v>3.1</v>
      </c>
      <c r="F816">
        <f>F2017</f>
        <v>11.5</v>
      </c>
      <c r="G816">
        <f>G2017</f>
        <v>28</v>
      </c>
      <c r="H816">
        <f>H2017</f>
        <v>29.8</v>
      </c>
      <c r="I816">
        <f>I2017</f>
        <v>32</v>
      </c>
    </row>
    <row r="817" spans="2:10" x14ac:dyDescent="0.3">
      <c r="C817" s="41" t="s">
        <v>325</v>
      </c>
      <c r="E817" s="46">
        <f>SUM(E815:E816)</f>
        <v>220.6</v>
      </c>
      <c r="F817" s="46">
        <f>SUM(F815:F816)</f>
        <v>219.6</v>
      </c>
      <c r="G817" s="46">
        <f>SUM(G815:G816)</f>
        <v>240.60000000000002</v>
      </c>
      <c r="H817" s="46">
        <f>SUM(H815:H816)</f>
        <v>288.90000000000003</v>
      </c>
      <c r="I817" s="46">
        <f>SUM(I815:I816)</f>
        <v>302.5</v>
      </c>
    </row>
    <row r="818" spans="2:10" x14ac:dyDescent="0.3">
      <c r="C818" s="41"/>
      <c r="D818" s="12"/>
      <c r="E818" s="41"/>
      <c r="F818" s="41"/>
      <c r="G818" s="41"/>
      <c r="H818" s="41"/>
      <c r="I818" s="41"/>
    </row>
    <row r="819" spans="2:10" x14ac:dyDescent="0.3">
      <c r="C819" s="12" t="s">
        <v>580</v>
      </c>
      <c r="D819" s="12"/>
      <c r="E819" s="41"/>
      <c r="F819" s="41"/>
      <c r="G819" s="12">
        <v>1.7</v>
      </c>
      <c r="H819" s="12">
        <v>1.8</v>
      </c>
      <c r="I819" s="12">
        <v>0.3</v>
      </c>
    </row>
    <row r="820" spans="2:10" x14ac:dyDescent="0.3">
      <c r="C820" s="12" t="s">
        <v>576</v>
      </c>
      <c r="D820" s="12"/>
      <c r="E820" s="41"/>
      <c r="F820" s="41"/>
      <c r="G820" s="12"/>
      <c r="H820" s="12"/>
      <c r="I820" s="12">
        <v>3.8</v>
      </c>
    </row>
    <row r="821" spans="2:10" x14ac:dyDescent="0.3">
      <c r="C821" s="12" t="s">
        <v>571</v>
      </c>
      <c r="D821" s="12"/>
      <c r="E821">
        <v>0.5</v>
      </c>
      <c r="F821">
        <v>0.6</v>
      </c>
      <c r="G821">
        <v>0.6</v>
      </c>
      <c r="H821" s="41"/>
      <c r="I821">
        <v>0.6</v>
      </c>
    </row>
    <row r="822" spans="2:10" x14ac:dyDescent="0.3">
      <c r="C822" s="12" t="s">
        <v>577</v>
      </c>
      <c r="D822" s="12"/>
      <c r="H822" s="12">
        <v>2.9</v>
      </c>
    </row>
    <row r="823" spans="2:10" x14ac:dyDescent="0.3">
      <c r="D823" s="12"/>
      <c r="E823" s="69">
        <f>SUM(E819:E822)</f>
        <v>0.5</v>
      </c>
      <c r="F823" s="69">
        <f>SUM(F819:F822)</f>
        <v>0.6</v>
      </c>
      <c r="G823" s="69">
        <f>SUM(G819:G822)</f>
        <v>2.2999999999999998</v>
      </c>
      <c r="H823" s="69">
        <f>SUM(H819:H822)</f>
        <v>4.7</v>
      </c>
      <c r="I823" s="69">
        <f>SUM(I819:I822)</f>
        <v>4.6999999999999993</v>
      </c>
    </row>
    <row r="824" spans="2:10" x14ac:dyDescent="0.3">
      <c r="C824" s="41" t="s">
        <v>572</v>
      </c>
      <c r="D824" s="12"/>
      <c r="E824" s="41">
        <f>E817+E823</f>
        <v>221.1</v>
      </c>
      <c r="F824" s="41">
        <f>F817+F823</f>
        <v>220.2</v>
      </c>
      <c r="G824" s="41">
        <f>G817+G823</f>
        <v>242.90000000000003</v>
      </c>
      <c r="H824" s="41">
        <f>H817+H823</f>
        <v>293.60000000000002</v>
      </c>
      <c r="I824" s="41">
        <f>I817+I823</f>
        <v>307.2</v>
      </c>
    </row>
    <row r="825" spans="2:10" x14ac:dyDescent="0.3">
      <c r="D825" s="12"/>
      <c r="E825" s="41"/>
      <c r="F825" s="41"/>
      <c r="G825" s="41"/>
      <c r="H825" s="41"/>
      <c r="I825" s="41"/>
    </row>
    <row r="826" spans="2:10" x14ac:dyDescent="0.3">
      <c r="B826" t="s">
        <v>301</v>
      </c>
      <c r="C826" s="41" t="s">
        <v>133</v>
      </c>
      <c r="E826" s="47">
        <f>E814+E824</f>
        <v>1106.8999999999994</v>
      </c>
      <c r="F826" s="47">
        <f>F814+F824</f>
        <v>1145.299999999999</v>
      </c>
      <c r="G826" s="47">
        <f>G814+G824</f>
        <v>1250.3</v>
      </c>
      <c r="H826" s="47">
        <f>H814+H824</f>
        <v>1443.5399999999995</v>
      </c>
      <c r="I826" s="47">
        <f>I814+I824</f>
        <v>1630.6400000000006</v>
      </c>
    </row>
    <row r="827" spans="2:10" x14ac:dyDescent="0.3">
      <c r="C827" s="41"/>
      <c r="E827" s="2"/>
      <c r="F827" s="2"/>
      <c r="G827" s="2"/>
      <c r="H827" s="2"/>
      <c r="I827" s="2"/>
    </row>
    <row r="828" spans="2:10" x14ac:dyDescent="0.3">
      <c r="C828" s="41" t="s">
        <v>620</v>
      </c>
      <c r="E828" s="78">
        <f>E814-(E844*E814)</f>
        <v>729.10885676102475</v>
      </c>
      <c r="F828" s="78">
        <f>F814-(F844*F814)</f>
        <v>756.31953295755136</v>
      </c>
      <c r="G828" s="78">
        <f>G814-(G844*G814)</f>
        <v>793.88038984051968</v>
      </c>
      <c r="H828" s="78">
        <f>H814-(H844*H814)</f>
        <v>865.89200405268457</v>
      </c>
      <c r="I828" s="78">
        <f>I814-(I844*I814)</f>
        <v>996.51947006540377</v>
      </c>
    </row>
    <row r="829" spans="2:10" x14ac:dyDescent="0.3">
      <c r="C829" s="41"/>
    </row>
    <row r="830" spans="2:10" x14ac:dyDescent="0.3">
      <c r="C830" s="41" t="s">
        <v>294</v>
      </c>
    </row>
    <row r="831" spans="2:10" x14ac:dyDescent="0.3">
      <c r="C831" s="12" t="s">
        <v>295</v>
      </c>
      <c r="E831" s="60">
        <f>E756/E753</f>
        <v>0.42629542359324668</v>
      </c>
      <c r="F831" s="60">
        <f>F756/F753</f>
        <v>0.43212157330154938</v>
      </c>
      <c r="G831" s="60">
        <f>G756/G753</f>
        <v>0.44081223820797671</v>
      </c>
      <c r="H831" s="60">
        <f>H756/H753</f>
        <v>0.4318661022212778</v>
      </c>
      <c r="I831" s="60">
        <f>I756/I753</f>
        <v>0.44146754959210588</v>
      </c>
      <c r="J831" s="90">
        <f>AVERAGE(E831:I831)</f>
        <v>0.43451257738323135</v>
      </c>
    </row>
    <row r="832" spans="2:10" x14ac:dyDescent="0.3">
      <c r="C832" s="12" t="s">
        <v>304</v>
      </c>
      <c r="E832" s="60">
        <f>E826/E753</f>
        <v>0.23928316651894754</v>
      </c>
      <c r="F832" s="60">
        <f>F826/F753</f>
        <v>0.22751291219705985</v>
      </c>
      <c r="G832" s="60">
        <f>G826/G753</f>
        <v>0.22769987251866691</v>
      </c>
      <c r="H832" s="60">
        <f>H826/H753</f>
        <v>0.23594580016671837</v>
      </c>
      <c r="I832" s="60">
        <f>I826/I753</f>
        <v>0.23628012113659752</v>
      </c>
    </row>
    <row r="833" spans="3:10" x14ac:dyDescent="0.3">
      <c r="C833" s="12" t="s">
        <v>303</v>
      </c>
      <c r="E833" s="60">
        <f>E785/E753</f>
        <v>0.19148706197712867</v>
      </c>
      <c r="F833" s="60">
        <f>F785/F753</f>
        <v>0.18377036154151755</v>
      </c>
      <c r="G833" s="60">
        <f>G785/G753</f>
        <v>0.18346384993625933</v>
      </c>
      <c r="H833" s="60">
        <f>H785/H753</f>
        <v>0.1879570454879782</v>
      </c>
      <c r="I833" s="60">
        <f>I785/I753</f>
        <v>0.19176676857983285</v>
      </c>
    </row>
    <row r="834" spans="3:10" x14ac:dyDescent="0.3">
      <c r="C834" s="12" t="s">
        <v>621</v>
      </c>
      <c r="E834" s="60">
        <f>E828/E753</f>
        <v>0.15761448729134325</v>
      </c>
      <c r="F834" s="60">
        <f>F828/F753</f>
        <v>0.15024225922875475</v>
      </c>
      <c r="G834" s="60">
        <f>G828/G753</f>
        <v>0.14457847201612087</v>
      </c>
      <c r="H834" s="60">
        <f>H828/H753</f>
        <v>0.14152956049307541</v>
      </c>
      <c r="I834" s="60">
        <f>I828/I753</f>
        <v>0.14439590657780471</v>
      </c>
    </row>
    <row r="835" spans="3:10" x14ac:dyDescent="0.3">
      <c r="C835" s="12" t="s">
        <v>624</v>
      </c>
      <c r="E835" s="60">
        <f>E797/E753</f>
        <v>0.14328022655050898</v>
      </c>
      <c r="F835" s="60">
        <f>F797/F753</f>
        <v>0.138855780691299</v>
      </c>
      <c r="G835" s="60">
        <f>G797/G753</f>
        <v>0.13368238936441448</v>
      </c>
      <c r="H835" s="60">
        <f>H797/H753</f>
        <v>0.13063777970284882</v>
      </c>
      <c r="I835" s="60">
        <f>I797/I753</f>
        <v>0.13508034718096598</v>
      </c>
    </row>
    <row r="836" spans="3:10" x14ac:dyDescent="0.3">
      <c r="C836" s="12" t="s">
        <v>628</v>
      </c>
      <c r="E836" s="60"/>
      <c r="F836" s="60">
        <f>F797/AVERAGE(E977:F977)</f>
        <v>0.1755046700813496</v>
      </c>
      <c r="G836" s="60">
        <f>G797/AVERAGE(F977:G977)</f>
        <v>0.16859016318140579</v>
      </c>
      <c r="H836" s="60">
        <f>H797/AVERAGE(G977:H977)</f>
        <v>0.16656698066021988</v>
      </c>
      <c r="I836" s="60">
        <f>I797/AVERAGE(H977:I977)</f>
        <v>0.19048815872821279</v>
      </c>
    </row>
    <row r="837" spans="3:10" x14ac:dyDescent="0.3">
      <c r="C837" s="12" t="s">
        <v>629</v>
      </c>
      <c r="E837" s="60"/>
      <c r="F837" s="60">
        <f>F797/AVERAGE(E1004:F1004)</f>
        <v>0.64272906992781864</v>
      </c>
      <c r="G837" s="60">
        <f>G797/AVERAGE(F1004:G1004)</f>
        <v>0.52359213951995442</v>
      </c>
      <c r="H837" s="60">
        <f>H797/AVERAGE(G1004:H1004)</f>
        <v>0.47110606819722339</v>
      </c>
      <c r="I837" s="60">
        <f>I797/AVERAGE(H1004:I1004)</f>
        <v>0.52745841348874078</v>
      </c>
      <c r="J837" s="60"/>
    </row>
    <row r="838" spans="3:10" x14ac:dyDescent="0.3">
      <c r="C838" s="12" t="s">
        <v>631</v>
      </c>
      <c r="E838" s="60"/>
      <c r="F838" s="60">
        <f>F835*F1034*F1035</f>
        <v>0.64272906992781853</v>
      </c>
      <c r="G838" s="60">
        <f>G835*G1034*G1035</f>
        <v>0.52359213951995442</v>
      </c>
      <c r="H838" s="60">
        <f>H835*H1034*H1035</f>
        <v>0.47110606819722334</v>
      </c>
      <c r="I838" s="60">
        <f>I835*I1034*I1035</f>
        <v>0.52745841348874067</v>
      </c>
      <c r="J838" s="60"/>
    </row>
    <row r="839" spans="3:10" x14ac:dyDescent="0.3">
      <c r="C839" s="12" t="s">
        <v>469</v>
      </c>
      <c r="E839" s="60"/>
      <c r="F839" s="60">
        <f>F828/AVERAGE(E1012:F1012)</f>
        <v>0.2672648843428278</v>
      </c>
      <c r="G839" s="60">
        <f>G828/AVERAGE(F1012:G1012)</f>
        <v>0.25029333181175345</v>
      </c>
      <c r="H839" s="60">
        <f>H828/AVERAGE(G1012:H1012)</f>
        <v>0.25505294748160784</v>
      </c>
      <c r="I839" s="60">
        <f>I828/AVERAGE(H1012:I1012)</f>
        <v>0.28819048543615361</v>
      </c>
      <c r="J839" s="60"/>
    </row>
    <row r="840" spans="3:10" x14ac:dyDescent="0.3">
      <c r="C840" s="12"/>
      <c r="E840" s="60"/>
      <c r="F840" s="60"/>
      <c r="G840" s="60"/>
      <c r="H840" s="60"/>
      <c r="I840" s="60"/>
      <c r="J840" s="60"/>
    </row>
    <row r="841" spans="3:10" x14ac:dyDescent="0.3">
      <c r="C841" s="12"/>
    </row>
    <row r="842" spans="3:10" x14ac:dyDescent="0.3">
      <c r="C842" s="41" t="s">
        <v>305</v>
      </c>
    </row>
    <row r="843" spans="3:10" x14ac:dyDescent="0.3">
      <c r="C843" s="12" t="s">
        <v>459</v>
      </c>
      <c r="E843" s="70">
        <f>E796/E795</f>
        <v>0.17510889856876177</v>
      </c>
      <c r="F843" s="70">
        <f>F796/F795</f>
        <v>0.18121119831322499</v>
      </c>
      <c r="G843" s="70">
        <f>G796/G795</f>
        <v>0.20831535806729942</v>
      </c>
      <c r="H843" s="70">
        <f>H796/H795</f>
        <v>0.24722154199709928</v>
      </c>
      <c r="I843" s="70">
        <f>I796/I795</f>
        <v>0.24713302752293573</v>
      </c>
    </row>
    <row r="844" spans="3:10" x14ac:dyDescent="0.3">
      <c r="C844" s="12" t="s">
        <v>458</v>
      </c>
      <c r="E844" s="71">
        <f>-'HISTORICAL FS'!E28/'HISTORICAL FS'!E27</f>
        <v>0.1768922366662618</v>
      </c>
      <c r="F844" s="71">
        <f>-'HISTORICAL FS'!F28/'HISTORICAL FS'!F27</f>
        <v>0.18244564592200616</v>
      </c>
      <c r="G844" s="71">
        <f>-'HISTORICAL FS'!G28/'HISTORICAL FS'!G27</f>
        <v>0.2119511714904509</v>
      </c>
      <c r="H844" s="71">
        <f>-'HISTORICAL FS'!H28/'HISTORICAL FS'!H27</f>
        <v>0.24701114488348525</v>
      </c>
      <c r="I844" s="71">
        <f>-'HISTORICAL FS'!I28/'HISTORICAL FS'!I27</f>
        <v>0.24702331041422101</v>
      </c>
    </row>
    <row r="847" spans="3:10" x14ac:dyDescent="0.3">
      <c r="C847" s="12" t="s">
        <v>306</v>
      </c>
    </row>
    <row r="848" spans="3:10" x14ac:dyDescent="0.3">
      <c r="C848" s="12" t="s">
        <v>615</v>
      </c>
      <c r="E848">
        <f>E826/-E789</f>
        <v>12.796531791907508</v>
      </c>
      <c r="F848">
        <f>F826/-F789</f>
        <v>14.702182284980731</v>
      </c>
      <c r="G848">
        <f>G826/-G789</f>
        <v>14.289142857142856</v>
      </c>
      <c r="H848">
        <f>H826/-H789</f>
        <v>14.943478260869561</v>
      </c>
      <c r="I848">
        <f>I826/-I789</f>
        <v>16.776131687242803</v>
      </c>
    </row>
    <row r="849" spans="3:10" x14ac:dyDescent="0.3">
      <c r="C849" s="12" t="s">
        <v>622</v>
      </c>
      <c r="D849" s="61">
        <f>((I753/E753)^0.25)-1</f>
        <v>0.10518165293645843</v>
      </c>
    </row>
    <row r="850" spans="3:10" x14ac:dyDescent="0.3">
      <c r="C850" s="12" t="s">
        <v>623</v>
      </c>
      <c r="E850" s="10">
        <f>(E757+E758)/E753</f>
        <v>0.23214941957240756</v>
      </c>
      <c r="F850" s="10">
        <f>(F757+F758)/F753</f>
        <v>0.24469606674612637</v>
      </c>
      <c r="G850" s="10">
        <f>(G757+G758)/G753</f>
        <v>0.26439628482972138</v>
      </c>
      <c r="H850" s="10">
        <f>(H757+H758)/H753</f>
        <v>0.25324855755871922</v>
      </c>
      <c r="I850" s="10">
        <f>(I757+I758)/I753</f>
        <v>0.25640096793357775</v>
      </c>
      <c r="J850" s="10">
        <f>AVERAGE(E850:I850)</f>
        <v>0.25017825932811044</v>
      </c>
    </row>
    <row r="851" spans="3:10" x14ac:dyDescent="0.3">
      <c r="C851" s="12" t="s">
        <v>804</v>
      </c>
      <c r="E851" s="10">
        <f>E757/E753</f>
        <v>0.14996000778226942</v>
      </c>
      <c r="F851" s="10">
        <f>F757/F753</f>
        <v>0.14898688915375449</v>
      </c>
      <c r="G851" s="10">
        <f>G757/G753</f>
        <v>0.14461846658167912</v>
      </c>
      <c r="H851" s="10">
        <f>H757/H753</f>
        <v>0.14363936516238701</v>
      </c>
      <c r="I851" s="10">
        <f>I757/I753</f>
        <v>0.1488270325880631</v>
      </c>
      <c r="J851" s="10">
        <f>AVERAGE(E851:I851)</f>
        <v>0.14720635225363063</v>
      </c>
    </row>
    <row r="852" spans="3:10" x14ac:dyDescent="0.3">
      <c r="C852" s="12" t="s">
        <v>805</v>
      </c>
      <c r="E852" s="10">
        <f>E758/E753</f>
        <v>8.2189411790138139E-2</v>
      </c>
      <c r="F852" s="10">
        <f>F758/F753</f>
        <v>9.5709177592371894E-2</v>
      </c>
      <c r="G852" s="10">
        <f>G758/G753</f>
        <v>0.11977781824804226</v>
      </c>
      <c r="H852" s="10">
        <f>H758/H753</f>
        <v>0.10960919239633221</v>
      </c>
      <c r="I852" s="10">
        <f>I758/I753</f>
        <v>0.10757393534551461</v>
      </c>
      <c r="J852" s="10">
        <f>AVERAGE(E852:I852)</f>
        <v>0.10297190707447981</v>
      </c>
    </row>
    <row r="853" spans="3:10" x14ac:dyDescent="0.3">
      <c r="C853" s="12" t="s">
        <v>627</v>
      </c>
      <c r="E853">
        <f>E814/-E789</f>
        <v>10.240462427745658</v>
      </c>
      <c r="F853">
        <f>F814/-F789</f>
        <v>11.875481386392799</v>
      </c>
      <c r="G853">
        <f>G814/-G789</f>
        <v>11.513142857142856</v>
      </c>
      <c r="H853">
        <f>H814/-H789</f>
        <v>11.904140786749476</v>
      </c>
      <c r="I853">
        <f>I814/-I789</f>
        <v>13.615637860082309</v>
      </c>
    </row>
    <row r="854" spans="3:10" x14ac:dyDescent="0.3">
      <c r="C854" s="12"/>
    </row>
    <row r="855" spans="3:10" x14ac:dyDescent="0.3">
      <c r="C855" s="41" t="s">
        <v>635</v>
      </c>
    </row>
    <row r="856" spans="3:10" x14ac:dyDescent="0.3">
      <c r="C856" s="2" t="s">
        <v>639</v>
      </c>
      <c r="E856" s="61"/>
      <c r="F856" s="61">
        <f>'HISTORICAL FS'!F12/'HISTORICAL FS'!E12-1</f>
        <v>8.8220670572213056E-2</v>
      </c>
      <c r="G856" s="61">
        <f>'HISTORICAL FS'!G12/'HISTORICAL FS'!F12-1</f>
        <v>9.0782677791021005E-2</v>
      </c>
      <c r="H856" s="61">
        <f>'HISTORICAL FS'!H12/'HISTORICAL FS'!G12-1</f>
        <v>0.11420506283008569</v>
      </c>
      <c r="I856" s="61">
        <f>'HISTORICAL FS'!I12/'HISTORICAL FS'!H12-1</f>
        <v>0.12801359899315146</v>
      </c>
    </row>
    <row r="857" spans="3:10" x14ac:dyDescent="0.3">
      <c r="C857" t="s">
        <v>640</v>
      </c>
      <c r="E857" s="61"/>
      <c r="F857" s="61"/>
      <c r="G857" s="61"/>
      <c r="H857" s="61"/>
      <c r="I857" s="79">
        <f t="shared" ref="I857:I862" si="1">I745/H745-1</f>
        <v>0.12363746905806239</v>
      </c>
    </row>
    <row r="858" spans="3:10" x14ac:dyDescent="0.3">
      <c r="C858" t="s">
        <v>641</v>
      </c>
      <c r="E858" s="61"/>
      <c r="F858" s="61"/>
      <c r="G858" s="61"/>
      <c r="H858" s="61"/>
      <c r="I858" s="79">
        <f t="shared" si="1"/>
        <v>0.42504173622704511</v>
      </c>
    </row>
    <row r="859" spans="3:10" x14ac:dyDescent="0.3">
      <c r="C859" s="41" t="s">
        <v>636</v>
      </c>
      <c r="F859" s="60">
        <f t="shared" ref="F859:H862" si="2">F747/E747-1</f>
        <v>-4.1737976319374148E-2</v>
      </c>
      <c r="G859" s="60">
        <f t="shared" si="2"/>
        <v>5.7515672838606369E-2</v>
      </c>
      <c r="H859" s="60">
        <f t="shared" si="2"/>
        <v>0.10332942717308868</v>
      </c>
      <c r="I859" s="60">
        <f t="shared" si="1"/>
        <v>0.20823441209546423</v>
      </c>
    </row>
    <row r="860" spans="3:10" x14ac:dyDescent="0.3">
      <c r="C860" s="12" t="s">
        <v>637</v>
      </c>
      <c r="F860" s="60">
        <f t="shared" si="2"/>
        <v>0.29679500666245873</v>
      </c>
      <c r="G860" s="60">
        <f t="shared" si="2"/>
        <v>-2.9203396246821889E-3</v>
      </c>
      <c r="H860" s="60">
        <f t="shared" si="2"/>
        <v>-1.2203720778868554E-2</v>
      </c>
      <c r="I860" s="60">
        <f t="shared" si="1"/>
        <v>3.6679112672962866E-2</v>
      </c>
    </row>
    <row r="861" spans="3:10" x14ac:dyDescent="0.3">
      <c r="C861" s="41" t="s">
        <v>633</v>
      </c>
      <c r="E861" s="71"/>
      <c r="F861" s="71">
        <f t="shared" si="2"/>
        <v>7.0809046397761755E-2</v>
      </c>
      <c r="G861" s="71">
        <f t="shared" si="2"/>
        <v>3.3183094911490185E-2</v>
      </c>
      <c r="H861" s="71">
        <f t="shared" si="2"/>
        <v>5.8439232049903866E-2</v>
      </c>
      <c r="I861" s="71">
        <f t="shared" si="1"/>
        <v>0.14602580439630475</v>
      </c>
    </row>
    <row r="862" spans="3:10" x14ac:dyDescent="0.3">
      <c r="C862" s="12" t="s">
        <v>638</v>
      </c>
      <c r="E862" s="71"/>
      <c r="F862" s="71">
        <f t="shared" si="2"/>
        <v>0.10024057738572556</v>
      </c>
      <c r="G862" s="71">
        <f t="shared" si="2"/>
        <v>6.6690962099125395E-2</v>
      </c>
      <c r="H862" s="71">
        <f t="shared" si="2"/>
        <v>2.8356679193713763E-2</v>
      </c>
      <c r="I862" s="71">
        <f t="shared" si="1"/>
        <v>1.5614617940199249E-2</v>
      </c>
    </row>
    <row r="863" spans="3:10" x14ac:dyDescent="0.3">
      <c r="C863" s="12"/>
      <c r="E863" s="71"/>
      <c r="F863" s="71"/>
      <c r="G863" s="71"/>
      <c r="H863" s="71"/>
      <c r="I863" s="71"/>
    </row>
    <row r="864" spans="3:10" x14ac:dyDescent="0.3">
      <c r="C864" s="12" t="s">
        <v>642</v>
      </c>
      <c r="E864" s="71">
        <f>E754/E753</f>
        <v>0.56752199571975193</v>
      </c>
      <c r="F864" s="71">
        <f>F754/F753</f>
        <v>0.56172030194676204</v>
      </c>
      <c r="G864" s="71">
        <f>G754/G753</f>
        <v>0.55263157894736847</v>
      </c>
      <c r="H864" s="71">
        <f>H754/H753</f>
        <v>0.56496297870253842</v>
      </c>
      <c r="I864" s="71">
        <f>I754/I753</f>
        <v>0.55750365873096375</v>
      </c>
      <c r="J864" s="10">
        <f>AVERAGE(E864:I864)</f>
        <v>0.56086810280947685</v>
      </c>
    </row>
    <row r="865" spans="2:9" x14ac:dyDescent="0.3">
      <c r="C865" s="12"/>
      <c r="E865" s="71"/>
      <c r="F865" s="71"/>
      <c r="G865" s="71"/>
      <c r="H865" s="71"/>
      <c r="I865" s="71"/>
    </row>
    <row r="866" spans="2:9" x14ac:dyDescent="0.3">
      <c r="C866" s="41" t="s">
        <v>643</v>
      </c>
      <c r="E866" s="71"/>
      <c r="F866" s="71"/>
      <c r="G866" s="71"/>
      <c r="H866" s="71"/>
      <c r="I866" s="71"/>
    </row>
    <row r="867" spans="2:9" x14ac:dyDescent="0.3">
      <c r="C867" s="12" t="s">
        <v>653</v>
      </c>
      <c r="E867" s="71"/>
      <c r="F867" s="71"/>
      <c r="G867" s="71"/>
      <c r="H867" s="71"/>
      <c r="I867" s="71"/>
    </row>
    <row r="869" spans="2:9" x14ac:dyDescent="0.3">
      <c r="C869" s="2"/>
      <c r="E869" s="2"/>
      <c r="F869" s="2"/>
      <c r="G869" s="2"/>
      <c r="H869" s="2"/>
      <c r="I869" s="2"/>
    </row>
    <row r="870" spans="2:9" ht="47.4" x14ac:dyDescent="0.9">
      <c r="C870" s="49" t="s">
        <v>86</v>
      </c>
    </row>
    <row r="871" spans="2:9" x14ac:dyDescent="0.3">
      <c r="C871" s="2" t="s">
        <v>223</v>
      </c>
    </row>
    <row r="872" spans="2:9" x14ac:dyDescent="0.3">
      <c r="C872" s="2" t="str">
        <f>'HISTORICAL FS'!C48</f>
        <v>Operating profit</v>
      </c>
      <c r="E872">
        <f>E764</f>
        <v>905.39999999999941</v>
      </c>
      <c r="F872">
        <f>F764</f>
        <v>941.49999999999932</v>
      </c>
      <c r="G872">
        <f>G764</f>
        <v>987.9</v>
      </c>
      <c r="H872">
        <f>H764</f>
        <v>1075.3999999999994</v>
      </c>
      <c r="I872">
        <f>I764</f>
        <v>1278.8000000000002</v>
      </c>
    </row>
    <row r="873" spans="2:9" x14ac:dyDescent="0.3">
      <c r="C873" t="str">
        <f>'HISTORICAL FS'!C49</f>
        <v>Profit on disposal of associate</v>
      </c>
      <c r="I873">
        <f>'HISTORICAL FS'!I49</f>
        <v>-16.3</v>
      </c>
    </row>
    <row r="874" spans="2:9" x14ac:dyDescent="0.3">
      <c r="B874" s="2" t="s">
        <v>541</v>
      </c>
    </row>
    <row r="875" spans="2:9" x14ac:dyDescent="0.3">
      <c r="C875" t="str">
        <f>'HISTORICAL FS'!C50</f>
        <v>Depreciation, impairment and (profit)/loss on disposal of property, plant and equipment</v>
      </c>
      <c r="E875">
        <f>'HISTORICAL FS'!E50</f>
        <v>90.3</v>
      </c>
      <c r="F875">
        <f>'HISTORICAL FS'!F50</f>
        <v>80.599999999999994</v>
      </c>
      <c r="G875">
        <f>'HISTORICAL FS'!G50</f>
        <v>95.7</v>
      </c>
      <c r="H875">
        <f>'HISTORICAL FS'!H50</f>
        <v>117.9</v>
      </c>
      <c r="I875">
        <f>'HISTORICAL FS'!I50</f>
        <v>119.2</v>
      </c>
    </row>
    <row r="876" spans="2:9" x14ac:dyDescent="0.3">
      <c r="C876" t="str">
        <f>'HISTORICAL FS'!C51</f>
        <v>Depreciation and impairment on right-of-use assets</v>
      </c>
      <c r="E876">
        <f>'HISTORICAL FS'!E51</f>
        <v>112.6</v>
      </c>
      <c r="F876">
        <f>'HISTORICAL FS'!F51</f>
        <v>72.7</v>
      </c>
      <c r="G876">
        <f>'HISTORICAL FS'!G51</f>
        <v>111.8</v>
      </c>
      <c r="H876">
        <f>'HISTORICAL FS'!H51</f>
        <v>137.9</v>
      </c>
      <c r="I876">
        <f>'HISTORICAL FS'!I51</f>
        <v>156.4</v>
      </c>
    </row>
    <row r="877" spans="2:9" x14ac:dyDescent="0.3">
      <c r="C877" t="str">
        <f>'HISTORICAL FS'!C52</f>
        <v>Amortisation and impairment of intangible assets</v>
      </c>
      <c r="E877">
        <f>'HISTORICAL FS'!E52</f>
        <v>4.3</v>
      </c>
      <c r="F877">
        <f>'HISTORICAL FS'!F52</f>
        <v>12.5</v>
      </c>
      <c r="G877">
        <f>'HISTORICAL FS'!G52</f>
        <v>38.5</v>
      </c>
      <c r="H877">
        <f>'HISTORICAL FS'!H52</f>
        <v>55.2</v>
      </c>
      <c r="I877">
        <f>'HISTORICAL FS'!I52</f>
        <v>59.1</v>
      </c>
    </row>
    <row r="878" spans="2:9" x14ac:dyDescent="0.3">
      <c r="C878" t="str">
        <f>'HISTORICAL FS'!C53</f>
        <v>Amortisation, impairemnt &amp; disposals of investments</v>
      </c>
      <c r="E878">
        <f>'HISTORICAL FS'!E53</f>
        <v>0</v>
      </c>
      <c r="F878">
        <f>'HISTORICAL FS'!F53</f>
        <v>1.1000000000000001</v>
      </c>
      <c r="G878">
        <f>'HISTORICAL FS'!G53</f>
        <v>0.8</v>
      </c>
      <c r="H878">
        <f>'HISTORICAL FS'!H53</f>
        <v>13.5</v>
      </c>
      <c r="I878">
        <f>'HISTORICAL FS'!I53</f>
        <v>5.6</v>
      </c>
    </row>
    <row r="879" spans="2:9" x14ac:dyDescent="0.3">
      <c r="C879" t="str">
        <f>'HISTORICAL FS'!C54</f>
        <v>Share option charge</v>
      </c>
      <c r="E879">
        <f>'HISTORICAL FS'!E54</f>
        <v>19.899999999999999</v>
      </c>
      <c r="F879">
        <f>'HISTORICAL FS'!F54</f>
        <v>24.3</v>
      </c>
      <c r="G879">
        <f>'HISTORICAL FS'!G54</f>
        <v>31.9</v>
      </c>
      <c r="H879">
        <f>'HISTORICAL FS'!H54</f>
        <v>40.9</v>
      </c>
      <c r="I879">
        <f>'HISTORICAL FS'!I54</f>
        <v>43.1</v>
      </c>
    </row>
    <row r="880" spans="2:9" x14ac:dyDescent="0.3">
      <c r="C880" t="str">
        <f>'HISTORICAL FS'!C55</f>
        <v>Share of profit of associates and joint ventures</v>
      </c>
      <c r="E880">
        <f>'HISTORICAL FS'!E55</f>
        <v>-4.8</v>
      </c>
      <c r="F880">
        <f>'HISTORICAL FS'!F55</f>
        <v>-14.3</v>
      </c>
      <c r="G880">
        <f>'HISTORICAL FS'!G55</f>
        <v>-6.9</v>
      </c>
      <c r="H880">
        <f>'HISTORICAL FS'!H55</f>
        <v>-6.7</v>
      </c>
      <c r="I880">
        <f>'HISTORICAL FS'!I55</f>
        <v>-7.9</v>
      </c>
    </row>
    <row r="881" spans="2:9" x14ac:dyDescent="0.3">
      <c r="C881" t="str">
        <f>'HISTORICAL FS'!C56</f>
        <v>Exchange movement</v>
      </c>
      <c r="E881">
        <f>'HISTORICAL FS'!E56</f>
        <v>-1.6</v>
      </c>
      <c r="F881">
        <f>'HISTORICAL FS'!F56</f>
        <v>-0.8</v>
      </c>
      <c r="G881">
        <f>'HISTORICAL FS'!G56</f>
        <v>-15.5</v>
      </c>
      <c r="H881">
        <f>'HISTORICAL FS'!H56</f>
        <v>-5.6</v>
      </c>
      <c r="I881">
        <f>'HISTORICAL FS'!I56</f>
        <v>5.5</v>
      </c>
    </row>
    <row r="882" spans="2:9" x14ac:dyDescent="0.3">
      <c r="C882" t="str">
        <f>'HISTORICAL FS'!C60</f>
        <v>Net pension contributions less income statement charge</v>
      </c>
      <c r="E882">
        <f>'HISTORICAL FS'!E60</f>
        <v>-2.7</v>
      </c>
    </row>
    <row r="883" spans="2:9" x14ac:dyDescent="0.3">
      <c r="B883" s="2" t="s">
        <v>542</v>
      </c>
    </row>
    <row r="884" spans="2:9" x14ac:dyDescent="0.3">
      <c r="C884" t="str">
        <f>'HISTORICAL FS'!C57</f>
        <v>Increase in inventories and right of return asset</v>
      </c>
      <c r="E884">
        <f>'HISTORICAL FS'!E57</f>
        <v>-96.5</v>
      </c>
      <c r="F884">
        <f>'HISTORICAL FS'!F57</f>
        <v>-22.8</v>
      </c>
      <c r="G884">
        <f>'HISTORICAL FS'!G57</f>
        <v>15.3</v>
      </c>
      <c r="H884">
        <f>'HISTORICAL FS'!H57</f>
        <v>-100.3</v>
      </c>
      <c r="I884">
        <f>'HISTORICAL FS'!I57</f>
        <v>-79.2</v>
      </c>
    </row>
    <row r="885" spans="2:9" x14ac:dyDescent="0.3">
      <c r="C885" t="str">
        <f>'HISTORICAL FS'!C58</f>
        <v>(Increase)/decrease in customer and other receivables</v>
      </c>
      <c r="E885">
        <f>'HISTORICAL FS'!E58</f>
        <v>-165.4</v>
      </c>
      <c r="F885">
        <f>'HISTORICAL FS'!F58</f>
        <v>-156.5</v>
      </c>
      <c r="G885">
        <f>'HISTORICAL FS'!G58</f>
        <v>3.7</v>
      </c>
      <c r="H885">
        <f>'HISTORICAL FS'!H58</f>
        <v>-52.3</v>
      </c>
      <c r="I885">
        <f>'HISTORICAL FS'!I58</f>
        <v>-153.69999999999999</v>
      </c>
    </row>
    <row r="886" spans="2:9" x14ac:dyDescent="0.3">
      <c r="C886" t="str">
        <f>'HISTORICAL FS'!C59</f>
        <v>Increase/(decrease) in trade and other payables</v>
      </c>
      <c r="E886">
        <f>'HISTORICAL FS'!E59</f>
        <v>235.2</v>
      </c>
      <c r="F886">
        <f>'HISTORICAL FS'!F59</f>
        <v>12</v>
      </c>
      <c r="G886">
        <f>'HISTORICAL FS'!G59</f>
        <v>47.6</v>
      </c>
      <c r="H886">
        <f>'HISTORICAL FS'!H59</f>
        <v>93.2</v>
      </c>
      <c r="I886">
        <f>'HISTORICAL FS'!I59</f>
        <v>45.9</v>
      </c>
    </row>
    <row r="887" spans="2:9" x14ac:dyDescent="0.3">
      <c r="C887" s="2" t="str">
        <f>'HISTORICAL FS'!C62</f>
        <v>Cash flow from Operations</v>
      </c>
      <c r="E887" s="46">
        <f>SUM(E872:E886)</f>
        <v>1096.6999999999994</v>
      </c>
      <c r="F887" s="46">
        <f>SUM(F872:F886)</f>
        <v>950.29999999999927</v>
      </c>
      <c r="G887" s="46">
        <f>SUM(G872:G886)</f>
        <v>1310.7999999999997</v>
      </c>
      <c r="H887" s="46">
        <f>SUM(H872:H886)</f>
        <v>1369.1</v>
      </c>
      <c r="I887" s="46">
        <f>SUM(I872:I886)</f>
        <v>1456.5</v>
      </c>
    </row>
    <row r="888" spans="2:9" x14ac:dyDescent="0.3">
      <c r="C888" t="str">
        <f>'HISTORICAL FS'!C63</f>
        <v>corporation tax paid</v>
      </c>
      <c r="E888">
        <f>'HISTORICAL FS'!E63</f>
        <v>-125.3</v>
      </c>
      <c r="F888">
        <f>'HISTORICAL FS'!F63</f>
        <v>-151.5</v>
      </c>
      <c r="G888">
        <f>'HISTORICAL FS'!G63</f>
        <v>-193.3</v>
      </c>
      <c r="H888">
        <f>'HISTORICAL FS'!H63</f>
        <v>-242.6</v>
      </c>
      <c r="I888">
        <f>'HISTORICAL FS'!I63</f>
        <v>-233.1</v>
      </c>
    </row>
    <row r="889" spans="2:9" x14ac:dyDescent="0.3">
      <c r="C889" s="2" t="str">
        <f>'HISTORICAL FS'!C64</f>
        <v>Net cash from Operating activities</v>
      </c>
      <c r="E889" s="47">
        <f>SUM(E887:E888)</f>
        <v>971.39999999999941</v>
      </c>
      <c r="F889" s="47">
        <f>SUM(F887:F888)</f>
        <v>798.79999999999927</v>
      </c>
      <c r="G889" s="47">
        <f>SUM(G887:G888)</f>
        <v>1117.4999999999998</v>
      </c>
      <c r="H889" s="47">
        <f>SUM(H887:H888)</f>
        <v>1126.5</v>
      </c>
      <c r="I889" s="47">
        <f>SUM(I887:I888)</f>
        <v>1223.4000000000001</v>
      </c>
    </row>
    <row r="890" spans="2:9" x14ac:dyDescent="0.3">
      <c r="C890" s="2"/>
      <c r="E890" s="2"/>
      <c r="F890" s="2"/>
      <c r="G890" s="2"/>
      <c r="H890" s="2"/>
      <c r="I890" s="2"/>
    </row>
    <row r="891" spans="2:9" x14ac:dyDescent="0.3">
      <c r="C891" s="2" t="str">
        <f>'HISTORICAL FS'!C65</f>
        <v>Cashflow from Investing activities</v>
      </c>
    </row>
    <row r="892" spans="2:9" x14ac:dyDescent="0.3">
      <c r="B892" s="2" t="s">
        <v>543</v>
      </c>
      <c r="C892" s="2"/>
    </row>
    <row r="893" spans="2:9" x14ac:dyDescent="0.3">
      <c r="C893" t="str">
        <f>'HISTORICAL FS'!C66</f>
        <v>Additions to PPE</v>
      </c>
      <c r="E893">
        <f>'HISTORICAL FS'!E66</f>
        <v>-239.2</v>
      </c>
      <c r="F893">
        <f>'HISTORICAL FS'!F66</f>
        <v>-207.1</v>
      </c>
      <c r="G893">
        <f>'HISTORICAL FS'!G66</f>
        <v>-160.9</v>
      </c>
      <c r="H893">
        <f>'HISTORICAL FS'!H66</f>
        <v>-122.9</v>
      </c>
      <c r="I893">
        <f>'HISTORICAL FS'!I66</f>
        <v>-139.6</v>
      </c>
    </row>
    <row r="894" spans="2:9" x14ac:dyDescent="0.3">
      <c r="C894" t="str">
        <f>'HISTORICAL FS'!C67</f>
        <v>Movements in Capital accruals</v>
      </c>
      <c r="E894">
        <f>'HISTORICAL FS'!E67</f>
        <v>-4.4000000000000004</v>
      </c>
      <c r="F894">
        <f>'HISTORICAL FS'!F67</f>
        <v>2</v>
      </c>
      <c r="G894">
        <f>'HISTORICAL FS'!G67</f>
        <v>23.9</v>
      </c>
      <c r="H894">
        <f>'HISTORICAL FS'!H67</f>
        <v>-6.4</v>
      </c>
      <c r="I894">
        <f>'HISTORICAL FS'!I67</f>
        <v>4.2</v>
      </c>
    </row>
    <row r="895" spans="2:9" x14ac:dyDescent="0.3">
      <c r="C895" t="str">
        <f>'HISTORICAL FS'!C68</f>
        <v>Payments to acquire PPE</v>
      </c>
      <c r="E895" s="46">
        <f>SUM(E893:E894)</f>
        <v>-243.6</v>
      </c>
      <c r="F895" s="46">
        <f>SUM(F893:F894)</f>
        <v>-205.1</v>
      </c>
      <c r="G895" s="46">
        <f>SUM(G893:G894)</f>
        <v>-137</v>
      </c>
      <c r="H895" s="46">
        <f>SUM(H893:H894)</f>
        <v>-129.30000000000001</v>
      </c>
      <c r="I895" s="46">
        <f>SUM(I893:I894)</f>
        <v>-135.4</v>
      </c>
    </row>
    <row r="896" spans="2:9" x14ac:dyDescent="0.3">
      <c r="C896" t="str">
        <f>'HISTORICAL FS'!C71</f>
        <v>purchase of intangible assets</v>
      </c>
      <c r="E896">
        <f>'HISTORICAL FS'!E71</f>
        <v>-22.7</v>
      </c>
      <c r="F896">
        <f>'HISTORICAL FS'!F71</f>
        <v>-41</v>
      </c>
      <c r="G896">
        <f>'HISTORICAL FS'!G71</f>
        <v>-51.2</v>
      </c>
      <c r="H896">
        <f>'HISTORICAL FS'!H71</f>
        <v>-28.2</v>
      </c>
      <c r="I896">
        <f>'HISTORICAL FS'!I71</f>
        <v>-35.799999999999997</v>
      </c>
    </row>
    <row r="897" spans="2:9" x14ac:dyDescent="0.3">
      <c r="C897" s="2" t="s">
        <v>544</v>
      </c>
      <c r="E897" s="46">
        <f>SUM(E895:E896)</f>
        <v>-266.3</v>
      </c>
      <c r="F897" s="46">
        <f>SUM(F895:F896)</f>
        <v>-246.1</v>
      </c>
      <c r="G897" s="46">
        <f>SUM(G895:G896)</f>
        <v>-188.2</v>
      </c>
      <c r="H897" s="46">
        <f>SUM(H895:H896)</f>
        <v>-157.5</v>
      </c>
      <c r="I897" s="46">
        <f>SUM(I895:I896)</f>
        <v>-171.2</v>
      </c>
    </row>
    <row r="898" spans="2:9" x14ac:dyDescent="0.3">
      <c r="B898" s="2" t="s">
        <v>545</v>
      </c>
    </row>
    <row r="899" spans="2:9" x14ac:dyDescent="0.3">
      <c r="C899" t="str">
        <f>'HISTORICAL FS'!C70</f>
        <v>Proceeds from sale of held for sale assets</v>
      </c>
      <c r="E899">
        <f>'HISTORICAL FS'!E70</f>
        <v>15.5</v>
      </c>
      <c r="F899">
        <f>'HISTORICAL FS'!F70</f>
        <v>41.7</v>
      </c>
      <c r="G899">
        <f>'HISTORICAL FS'!G70</f>
        <v>3.3</v>
      </c>
      <c r="H899">
        <f>'HISTORICAL FS'!H70</f>
        <v>0</v>
      </c>
      <c r="I899">
        <f>'HISTORICAL FS'!I70</f>
        <v>55.7</v>
      </c>
    </row>
    <row r="900" spans="2:9" x14ac:dyDescent="0.3">
      <c r="C900" t="str">
        <f>'HISTORICAL FS'!C69</f>
        <v>Proceeds from sale of PPE</v>
      </c>
      <c r="E900">
        <f>'HISTORICAL FS'!E69</f>
        <v>3.4</v>
      </c>
      <c r="F900">
        <f>'HISTORICAL FS'!F69</f>
        <v>0</v>
      </c>
      <c r="G900">
        <f>'HISTORICAL FS'!G69</f>
        <v>2</v>
      </c>
      <c r="H900">
        <f>'HISTORICAL FS'!H69</f>
        <v>2.6</v>
      </c>
      <c r="I900">
        <f>'HISTORICAL FS'!I69</f>
        <v>0.4</v>
      </c>
    </row>
    <row r="901" spans="2:9" x14ac:dyDescent="0.3">
      <c r="E901" s="46">
        <f>SUM(E899:E900)</f>
        <v>18.899999999999999</v>
      </c>
      <c r="F901" s="46">
        <f>SUM(F899:F900)</f>
        <v>41.7</v>
      </c>
      <c r="G901" s="46">
        <f>SUM(G899:G900)</f>
        <v>5.3</v>
      </c>
      <c r="H901" s="46">
        <f>SUM(H899:H900)</f>
        <v>2.6</v>
      </c>
      <c r="I901" s="46">
        <f>SUM(I899:I900)</f>
        <v>56.1</v>
      </c>
    </row>
    <row r="902" spans="2:9" x14ac:dyDescent="0.3">
      <c r="B902" s="2" t="s">
        <v>546</v>
      </c>
    </row>
    <row r="903" spans="2:9" x14ac:dyDescent="0.3">
      <c r="C903" t="str">
        <f>'HISTORICAL FS'!C72</f>
        <v>Amounts loaned/repaid  to Joint ventures and associates</v>
      </c>
      <c r="E903">
        <f>'HISTORICAL FS'!E72</f>
        <v>-10.8</v>
      </c>
      <c r="F903">
        <f>'HISTORICAL FS'!F72</f>
        <v>11.3</v>
      </c>
      <c r="H903">
        <f>'HISTORICAL FS'!H72</f>
        <v>-0.9</v>
      </c>
      <c r="I903">
        <f>'HISTORICAL FS'!I72</f>
        <v>-4.8</v>
      </c>
    </row>
    <row r="904" spans="2:9" x14ac:dyDescent="0.3">
      <c r="C904" t="str">
        <f>'HISTORICAL FS'!C73</f>
        <v>Disposal of other investment</v>
      </c>
      <c r="F904">
        <f>'HISTORICAL FS'!F73</f>
        <v>1.8</v>
      </c>
    </row>
    <row r="905" spans="2:9" x14ac:dyDescent="0.3">
      <c r="C905" t="str">
        <f>'HISTORICAL FS'!C74</f>
        <v>Disposal of minority interest</v>
      </c>
    </row>
    <row r="906" spans="2:9" x14ac:dyDescent="0.3">
      <c r="C906" t="str">
        <f>'HISTORICAL FS'!C75</f>
        <v>Investment in subsidiaries</v>
      </c>
      <c r="F906">
        <f>'HISTORICAL FS'!F75</f>
        <v>-28.8</v>
      </c>
      <c r="G906">
        <f>'HISTORICAL FS'!G75</f>
        <v>-153.19999999999999</v>
      </c>
      <c r="H906">
        <f>'HISTORICAL FS'!H75</f>
        <v>-24.2</v>
      </c>
    </row>
    <row r="907" spans="2:9" x14ac:dyDescent="0.3">
      <c r="C907" t="str">
        <f>'HISTORICAL FS'!C76</f>
        <v>Investment in associates and joint ventures</v>
      </c>
      <c r="E907">
        <f>'HISTORICAL FS'!E76</f>
        <v>-34.299999999999997</v>
      </c>
      <c r="F907">
        <f>'HISTORICAL FS'!F76</f>
        <v>-64.7</v>
      </c>
      <c r="G907">
        <f>'HISTORICAL FS'!G76</f>
        <v>-0.9</v>
      </c>
      <c r="H907">
        <f>'HISTORICAL FS'!H76</f>
        <v>-1.2</v>
      </c>
    </row>
    <row r="908" spans="2:9" x14ac:dyDescent="0.3">
      <c r="C908" t="str">
        <f>'HISTORICAL FS'!C77</f>
        <v>Acquisition of other investments</v>
      </c>
      <c r="F908">
        <f>'HISTORICAL FS'!F77</f>
        <v>-1.9</v>
      </c>
    </row>
    <row r="909" spans="2:9" x14ac:dyDescent="0.3">
      <c r="C909" t="str">
        <f>'HISTORICAL FS'!C78</f>
        <v>Dividend from jointly controlled entity</v>
      </c>
      <c r="F909">
        <f>'HISTORICAL FS'!F78</f>
        <v>9.8000000000000007</v>
      </c>
      <c r="G909">
        <f>'HISTORICAL FS'!G78</f>
        <v>2.6</v>
      </c>
    </row>
    <row r="910" spans="2:9" x14ac:dyDescent="0.3">
      <c r="C910" t="str">
        <f>'HISTORICAL FS'!C79</f>
        <v>Disposal of preference shares in jointly controlled entity</v>
      </c>
      <c r="F910">
        <f>'HISTORICAL FS'!F79</f>
        <v>5.5</v>
      </c>
    </row>
    <row r="911" spans="2:9" x14ac:dyDescent="0.3">
      <c r="E911" s="46">
        <f>SUM(E903:E910)</f>
        <v>-45.099999999999994</v>
      </c>
      <c r="F911" s="46">
        <f>SUM(F903:F910)</f>
        <v>-67.000000000000014</v>
      </c>
      <c r="G911" s="46">
        <f>SUM(G903:G910)</f>
        <v>-151.5</v>
      </c>
      <c r="H911" s="46">
        <f>SUM(H903:H910)</f>
        <v>-26.299999999999997</v>
      </c>
      <c r="I911" s="46">
        <f>SUM(I903:I910)</f>
        <v>-4.8</v>
      </c>
    </row>
    <row r="912" spans="2:9" x14ac:dyDescent="0.3">
      <c r="C912" t="str">
        <f>'HISTORICAL FS'!C61</f>
        <v>Interest received</v>
      </c>
      <c r="E912">
        <f>'HISTORICAL FS'!E92</f>
        <v>0.8</v>
      </c>
      <c r="F912">
        <f>'HISTORICAL FS'!F92</f>
        <v>0.3</v>
      </c>
      <c r="G912">
        <f>'HISTORICAL FS'!G61</f>
        <v>2.8</v>
      </c>
      <c r="H912">
        <f>'HISTORICAL FS'!H61</f>
        <v>7.4</v>
      </c>
      <c r="I912">
        <f>'HISTORICAL FS'!I61</f>
        <v>10.199999999999999</v>
      </c>
    </row>
    <row r="913" spans="2:9" x14ac:dyDescent="0.3">
      <c r="C913" s="2" t="str">
        <f>'HISTORICAL FS'!C80</f>
        <v>Net cash from Investing activities</v>
      </c>
      <c r="E913" s="47">
        <f>E897+E901+E911+E912</f>
        <v>-291.7</v>
      </c>
      <c r="F913" s="47">
        <f>F897+F901+F911+F912</f>
        <v>-271.09999999999997</v>
      </c>
      <c r="G913" s="47">
        <f>G897+G901+G911+G912</f>
        <v>-331.59999999999997</v>
      </c>
      <c r="H913" s="47">
        <f>H897+H901+H911+H912</f>
        <v>-173.79999999999998</v>
      </c>
      <c r="I913" s="47">
        <f>I897+I901+I911+I912</f>
        <v>-109.69999999999999</v>
      </c>
    </row>
    <row r="914" spans="2:9" x14ac:dyDescent="0.3">
      <c r="C914" s="2"/>
      <c r="E914" s="2"/>
      <c r="F914" s="2"/>
      <c r="G914" s="2"/>
      <c r="H914" s="2"/>
      <c r="I914" s="2"/>
    </row>
    <row r="915" spans="2:9" x14ac:dyDescent="0.3">
      <c r="C915" s="2" t="str">
        <f>'HISTORICAL FS'!C81</f>
        <v>Cashflows from financing activities</v>
      </c>
    </row>
    <row r="916" spans="2:9" x14ac:dyDescent="0.3">
      <c r="B916" s="2" t="s">
        <v>547</v>
      </c>
      <c r="C916" s="2"/>
    </row>
    <row r="917" spans="2:9" x14ac:dyDescent="0.3">
      <c r="C917" t="str">
        <f>'HISTORICAL FS'!C82</f>
        <v>Repurchase of own shares</v>
      </c>
      <c r="E917">
        <f>'HISTORICAL FS'!E82</f>
        <v>-8.6999999999999993</v>
      </c>
      <c r="F917">
        <f>'HISTORICAL FS'!F82</f>
        <v>-228.5</v>
      </c>
      <c r="G917">
        <f>'HISTORICAL FS'!G82</f>
        <v>-177.3</v>
      </c>
      <c r="H917">
        <f>'HISTORICAL FS'!H82</f>
        <v>-360.2</v>
      </c>
      <c r="I917">
        <f>'HISTORICAL FS'!I82</f>
        <v>-131.4</v>
      </c>
    </row>
    <row r="918" spans="2:9" x14ac:dyDescent="0.3">
      <c r="C918" t="str">
        <f>'HISTORICAL FS'!C95</f>
        <v>Return of capital via B share scheme</v>
      </c>
      <c r="I918">
        <f>'HISTORICAL FS'!I95</f>
        <v>-421.5</v>
      </c>
    </row>
    <row r="919" spans="2:9" x14ac:dyDescent="0.3">
      <c r="C919" t="str">
        <f>'HISTORICAL FS'!C97</f>
        <v>Dividends paid to owners of NEXT plc</v>
      </c>
      <c r="E919">
        <f>'HISTORICAL FS'!E97</f>
        <v>-344.5</v>
      </c>
      <c r="F919">
        <f>'HISTORICAL FS'!F97</f>
        <v>-237.4</v>
      </c>
      <c r="G919">
        <f>'HISTORICAL FS'!G97</f>
        <v>-248.3</v>
      </c>
      <c r="H919">
        <f>'HISTORICAL FS'!H97</f>
        <v>-257.8</v>
      </c>
      <c r="I919">
        <f>'HISTORICAL FS'!I97</f>
        <v>-286.5</v>
      </c>
    </row>
    <row r="920" spans="2:9" x14ac:dyDescent="0.3">
      <c r="E920" s="46">
        <f>SUM(E917:E919)</f>
        <v>-353.2</v>
      </c>
      <c r="F920" s="46">
        <f>SUM(F917:F919)</f>
        <v>-465.9</v>
      </c>
      <c r="G920" s="46">
        <f>SUM(G917:G919)</f>
        <v>-425.6</v>
      </c>
      <c r="H920" s="46">
        <f>SUM(H917:H919)</f>
        <v>-618</v>
      </c>
      <c r="I920" s="46">
        <f>SUM(I917:I919)</f>
        <v>-839.4</v>
      </c>
    </row>
    <row r="921" spans="2:9" x14ac:dyDescent="0.3">
      <c r="B921" s="2" t="s">
        <v>548</v>
      </c>
      <c r="E921" s="2"/>
      <c r="F921" s="2"/>
      <c r="G921" s="2"/>
      <c r="H921" s="2"/>
      <c r="I921" s="2"/>
    </row>
    <row r="922" spans="2:9" x14ac:dyDescent="0.3">
      <c r="C922" t="str">
        <f>'HISTORICAL FS'!C83</f>
        <v>purchase of shares by ESOT</v>
      </c>
      <c r="E922">
        <f>'HISTORICAL FS'!E83</f>
        <v>-151.30000000000001</v>
      </c>
      <c r="F922">
        <f>'HISTORICAL FS'!F83</f>
        <v>-124</v>
      </c>
      <c r="G922">
        <f>'HISTORICAL FS'!G83</f>
        <v>-116.3</v>
      </c>
      <c r="H922">
        <f>'HISTORICAL FS'!H83</f>
        <v>-126.8</v>
      </c>
      <c r="I922">
        <f>'HISTORICAL FS'!I83</f>
        <v>-169</v>
      </c>
    </row>
    <row r="923" spans="2:9" x14ac:dyDescent="0.3">
      <c r="C923" t="str">
        <f>'HISTORICAL FS'!C84</f>
        <v>Disposal of shares by ESOT</v>
      </c>
      <c r="E923">
        <f>'HISTORICAL FS'!E84</f>
        <v>72.5</v>
      </c>
      <c r="F923">
        <f>'HISTORICAL FS'!F84</f>
        <v>34.299999999999997</v>
      </c>
      <c r="G923">
        <f>'HISTORICAL FS'!G84</f>
        <v>97.8</v>
      </c>
      <c r="H923">
        <f>'HISTORICAL FS'!H84</f>
        <v>77</v>
      </c>
      <c r="I923">
        <f>'HISTORICAL FS'!I84</f>
        <v>107.2</v>
      </c>
    </row>
    <row r="924" spans="2:9" x14ac:dyDescent="0.3">
      <c r="E924" s="46">
        <f>SUM(E922:E923)</f>
        <v>-78.800000000000011</v>
      </c>
      <c r="F924" s="46">
        <f>SUM(F922:F923)</f>
        <v>-89.7</v>
      </c>
      <c r="G924" s="46">
        <f>SUM(G922:G923)</f>
        <v>-18.5</v>
      </c>
      <c r="H924" s="46">
        <f>SUM(H922:H923)</f>
        <v>-49.8</v>
      </c>
      <c r="I924" s="46">
        <f>SUM(I922:I923)</f>
        <v>-61.8</v>
      </c>
    </row>
    <row r="925" spans="2:9" x14ac:dyDescent="0.3">
      <c r="B925" s="2" t="s">
        <v>549</v>
      </c>
    </row>
    <row r="926" spans="2:9" x14ac:dyDescent="0.3">
      <c r="C926" t="str">
        <f>'HISTORICAL FS'!C93</f>
        <v>Repayment of corporate bonds</v>
      </c>
      <c r="E926">
        <f>'HISTORICAL FS'!E93</f>
        <v>-325</v>
      </c>
      <c r="I926">
        <f>'HISTORICAL FS'!I93</f>
        <v>-386.4</v>
      </c>
    </row>
    <row r="927" spans="2:9" x14ac:dyDescent="0.3">
      <c r="C927" t="str">
        <f>'HISTORICAL FS'!C94</f>
        <v>Issue of corporate bonds</v>
      </c>
      <c r="I927">
        <f>'HISTORICAL FS'!I94</f>
        <v>298.39999999999998</v>
      </c>
    </row>
    <row r="928" spans="2:9" x14ac:dyDescent="0.3">
      <c r="C928" t="str">
        <f>'HISTORICAL FS'!C87</f>
        <v>Repayment of Loans</v>
      </c>
      <c r="G928">
        <f>'HISTORICAL FS'!G87</f>
        <v>-2.5</v>
      </c>
      <c r="H928">
        <f>'HISTORICAL FS'!H87</f>
        <v>-2.4</v>
      </c>
      <c r="I928">
        <f>'HISTORICAL FS'!I87</f>
        <v>-31.5</v>
      </c>
    </row>
    <row r="929" spans="2:9" x14ac:dyDescent="0.3">
      <c r="C929" t="str">
        <f>'HISTORICAL FS'!C88</f>
        <v>Drawdown of revolving credit facility</v>
      </c>
      <c r="I929">
        <f>'HISTORICAL FS'!I88</f>
        <v>60</v>
      </c>
    </row>
    <row r="930" spans="2:9" x14ac:dyDescent="0.3">
      <c r="E930" s="46">
        <f>SUM(E926:E929)</f>
        <v>-325</v>
      </c>
      <c r="F930" s="46">
        <f>SUM(F926:F929)</f>
        <v>0</v>
      </c>
      <c r="G930" s="46">
        <f>SUM(G926:G929)</f>
        <v>-2.5</v>
      </c>
      <c r="H930" s="46">
        <f>SUM(H926:H929)</f>
        <v>-2.4</v>
      </c>
      <c r="I930" s="46">
        <f>SUM(I926:I929)</f>
        <v>-59.5</v>
      </c>
    </row>
    <row r="931" spans="2:9" x14ac:dyDescent="0.3">
      <c r="B931" s="2" t="s">
        <v>550</v>
      </c>
    </row>
    <row r="932" spans="2:9" x14ac:dyDescent="0.3">
      <c r="C932" t="str">
        <f>'HISTORICAL FS'!C96</f>
        <v xml:space="preserve">Proceeds from sale and leaseback transactions </v>
      </c>
      <c r="E932">
        <f>'HISTORICAL FS'!E96</f>
        <v>14.3</v>
      </c>
      <c r="F932">
        <f>'HISTORICAL FS'!F96</f>
        <v>59.3</v>
      </c>
      <c r="G932">
        <f>'HISTORICAL FS'!G96</f>
        <v>18.600000000000001</v>
      </c>
    </row>
    <row r="933" spans="2:9" x14ac:dyDescent="0.3">
      <c r="C933" t="str">
        <f>'HISTORICAL FS'!C89</f>
        <v>Incentives received for leases within the scope of IFRS 16</v>
      </c>
      <c r="E933">
        <f>'HISTORICAL FS'!E89</f>
        <v>11.9</v>
      </c>
      <c r="F933">
        <f>'HISTORICAL FS'!F89</f>
        <v>0.1</v>
      </c>
      <c r="H933">
        <f>'HISTORICAL FS'!H89</f>
        <v>1</v>
      </c>
      <c r="I933">
        <f>'HISTORICAL FS'!I89</f>
        <v>0.7</v>
      </c>
    </row>
    <row r="934" spans="2:9" x14ac:dyDescent="0.3">
      <c r="C934" t="str">
        <f>'HISTORICAL FS'!C90</f>
        <v>Lease payments</v>
      </c>
      <c r="E934">
        <f>'HISTORICAL FS'!E90</f>
        <v>-172.3</v>
      </c>
      <c r="F934">
        <f>'HISTORICAL FS'!F90</f>
        <v>-157.1</v>
      </c>
      <c r="G934">
        <f>'HISTORICAL FS'!G90</f>
        <v>-156.1</v>
      </c>
      <c r="H934">
        <f>'HISTORICAL FS'!H90</f>
        <v>-164.6</v>
      </c>
      <c r="I934">
        <f>'HISTORICAL FS'!I90</f>
        <v>-167.4</v>
      </c>
    </row>
    <row r="935" spans="2:9" x14ac:dyDescent="0.3">
      <c r="C935" t="str">
        <f>'HISTORICAL FS'!C91</f>
        <v>Interest paid(including lease interest)</v>
      </c>
      <c r="E935">
        <f>'HISTORICAL FS'!E91</f>
        <v>-91.1</v>
      </c>
      <c r="F935">
        <f>'HISTORICAL FS'!F91</f>
        <v>-74.099999999999994</v>
      </c>
      <c r="G935">
        <f>'HISTORICAL FS'!G91</f>
        <v>-79.2</v>
      </c>
      <c r="H935">
        <f>'HISTORICAL FS'!H91</f>
        <v>-93.3</v>
      </c>
      <c r="I935">
        <f>'HISTORICAL FS'!I91</f>
        <v>-94.1</v>
      </c>
    </row>
    <row r="936" spans="2:9" x14ac:dyDescent="0.3">
      <c r="E936" s="46">
        <f>SUM(E932:E935)</f>
        <v>-237.20000000000002</v>
      </c>
      <c r="F936" s="46">
        <f>SUM(F932:F935)</f>
        <v>-171.79999999999998</v>
      </c>
      <c r="G936" s="46">
        <f>SUM(G932:G935)</f>
        <v>-216.7</v>
      </c>
      <c r="H936" s="46">
        <f>SUM(H932:H935)</f>
        <v>-256.89999999999998</v>
      </c>
      <c r="I936" s="46">
        <f>SUM(I932:I935)</f>
        <v>-260.8</v>
      </c>
    </row>
    <row r="937" spans="2:9" x14ac:dyDescent="0.3">
      <c r="B937" s="2" t="s">
        <v>551</v>
      </c>
    </row>
    <row r="938" spans="2:9" x14ac:dyDescent="0.3">
      <c r="C938" t="str">
        <f>'HISTORICAL FS'!C85</f>
        <v>Purchase of equity from Non controlling interests</v>
      </c>
      <c r="H938">
        <f>'HISTORICAL FS'!H85</f>
        <v>-5</v>
      </c>
      <c r="I938">
        <f>'HISTORICAL FS'!I85</f>
        <v>-1.5</v>
      </c>
    </row>
    <row r="939" spans="2:9" x14ac:dyDescent="0.3">
      <c r="C939" t="str">
        <f>'HISTORICAL FS'!C86</f>
        <v>Issue of shares in subsidiaries to non controlling interests</v>
      </c>
      <c r="H939">
        <f>'HISTORICAL FS'!H86</f>
        <v>0.5</v>
      </c>
    </row>
    <row r="940" spans="2:9" x14ac:dyDescent="0.3">
      <c r="C940" t="str">
        <f>'HISTORICAL FS'!C98</f>
        <v>Dividends paid to Non controlling interests in subsidiaries</v>
      </c>
      <c r="E940" t="str">
        <f>'HISTORICAL FS'!E98</f>
        <v xml:space="preserve"> </v>
      </c>
      <c r="H940">
        <f>'HISTORICAL FS'!H98</f>
        <v>-8</v>
      </c>
      <c r="I940">
        <f>'HISTORICAL FS'!I98</f>
        <v>-2</v>
      </c>
    </row>
    <row r="941" spans="2:9" x14ac:dyDescent="0.3">
      <c r="C941" s="2" t="str">
        <f>'HISTORICAL FS'!C99</f>
        <v>Net cash from financing activities</v>
      </c>
      <c r="E941" s="47">
        <f>E920+E924+E930+E936+SUM(E938:E940)</f>
        <v>-994.2</v>
      </c>
      <c r="F941" s="47">
        <f>F920+F924+F930+F936+SUM(F938:F940)</f>
        <v>-727.4</v>
      </c>
      <c r="G941" s="47">
        <f>G920+G924+G930+G936+SUM(G938:G940)</f>
        <v>-663.3</v>
      </c>
      <c r="H941" s="47">
        <f>H920+H924+H930+H936+SUM(H938:H940)</f>
        <v>-939.59999999999991</v>
      </c>
      <c r="I941" s="47">
        <f>I920+I924+I930+I936+SUM(I938:I940)</f>
        <v>-1225</v>
      </c>
    </row>
    <row r="942" spans="2:9" x14ac:dyDescent="0.3">
      <c r="C942" s="2" t="str">
        <f>'HISTORICAL FS'!C100</f>
        <v>Net (decrease)/increase in cash and cash equivalents</v>
      </c>
      <c r="E942">
        <f>E941+E913+E889</f>
        <v>-314.50000000000068</v>
      </c>
      <c r="F942">
        <f>F941+F913+F889</f>
        <v>-199.70000000000073</v>
      </c>
      <c r="G942">
        <f>G941+G913+G889</f>
        <v>122.59999999999991</v>
      </c>
      <c r="H942">
        <f>H941+H913+H889</f>
        <v>13.100000000000136</v>
      </c>
      <c r="I942">
        <f>I941+I913+I889</f>
        <v>-111.29999999999995</v>
      </c>
    </row>
    <row r="943" spans="2:9" x14ac:dyDescent="0.3">
      <c r="C943" s="2" t="str">
        <f>'HISTORICAL FS'!C101</f>
        <v>Opening cash and cash equivalenrs</v>
      </c>
      <c r="E943" s="2">
        <f>'HISTORICAL FS'!E101</f>
        <v>514.79999999999995</v>
      </c>
      <c r="F943" s="2">
        <f>'HISTORICAL FS'!F101</f>
        <v>199.9</v>
      </c>
      <c r="G943" s="2">
        <f>'HISTORICAL FS'!G101</f>
        <v>2.7</v>
      </c>
      <c r="H943" s="2">
        <f>'HISTORICAL FS'!H101</f>
        <v>124.3</v>
      </c>
      <c r="I943" s="2">
        <f>'HISTORICAL FS'!I101</f>
        <v>171.3</v>
      </c>
    </row>
    <row r="944" spans="2:9" x14ac:dyDescent="0.3">
      <c r="C944" t="str">
        <f>'HISTORICAL FS'!C102</f>
        <v>exclude bank loans</v>
      </c>
      <c r="H944">
        <f>'HISTORICAL FS'!H102</f>
        <v>33.9</v>
      </c>
    </row>
    <row r="945" spans="3:9" x14ac:dyDescent="0.3">
      <c r="C945" t="str">
        <f>'HISTORICAL FS'!C103</f>
        <v>effect of exchange rate fluctuations on cash held</v>
      </c>
      <c r="E945">
        <f>'HISTORICAL FS'!E103</f>
        <v>-0.4</v>
      </c>
      <c r="F945">
        <f>'HISTORICAL FS'!F103</f>
        <v>2.5</v>
      </c>
      <c r="G945">
        <f>'HISTORICAL FS'!G103</f>
        <v>-1</v>
      </c>
      <c r="I945">
        <f>'HISTORICAL FS'!I103</f>
        <v>0.2</v>
      </c>
    </row>
    <row r="946" spans="3:9" x14ac:dyDescent="0.3">
      <c r="C946" s="2" t="str">
        <f>'HISTORICAL FS'!C104</f>
        <v>closing cash and cash equivalents</v>
      </c>
      <c r="E946" s="47">
        <f>SUM(E942:E945)</f>
        <v>199.89999999999927</v>
      </c>
      <c r="F946" s="47">
        <f>SUM(F942:F945)</f>
        <v>2.6999999999992781</v>
      </c>
      <c r="G946" s="47">
        <f>SUM(G942:G945)</f>
        <v>124.29999999999991</v>
      </c>
      <c r="H946" s="47">
        <f>SUM(H942:H945)</f>
        <v>171.30000000000015</v>
      </c>
      <c r="I946" s="47">
        <f>SUM(I942:I945)</f>
        <v>60.20000000000006</v>
      </c>
    </row>
    <row r="947" spans="3:9" x14ac:dyDescent="0.3">
      <c r="C947" s="2"/>
    </row>
    <row r="948" spans="3:9" x14ac:dyDescent="0.3">
      <c r="C948" s="2"/>
    </row>
    <row r="949" spans="3:9" x14ac:dyDescent="0.3">
      <c r="C949" s="2"/>
    </row>
    <row r="950" spans="3:9" x14ac:dyDescent="0.3">
      <c r="C950" s="2"/>
    </row>
    <row r="953" spans="3:9" ht="36.6" x14ac:dyDescent="0.7">
      <c r="C953" s="43" t="s">
        <v>72</v>
      </c>
    </row>
    <row r="957" spans="3:9" x14ac:dyDescent="0.3">
      <c r="C957" s="41" t="s">
        <v>73</v>
      </c>
    </row>
    <row r="958" spans="3:9" x14ac:dyDescent="0.3">
      <c r="C958" s="12" t="s">
        <v>121</v>
      </c>
      <c r="E958">
        <f>'HISTORICAL FS'!E112</f>
        <v>601.1</v>
      </c>
      <c r="F958">
        <f>'HISTORICAL FS'!F112</f>
        <v>644.79999999999995</v>
      </c>
      <c r="G958">
        <f>'HISTORICAL FS'!G112</f>
        <v>687.5</v>
      </c>
      <c r="H958">
        <f>'HISTORICAL FS'!H112</f>
        <v>686.4</v>
      </c>
      <c r="I958">
        <f>'HISTORICAL FS'!I112</f>
        <v>667.7</v>
      </c>
    </row>
    <row r="959" spans="3:9" x14ac:dyDescent="0.3">
      <c r="C959" s="12" t="s">
        <v>147</v>
      </c>
      <c r="E959">
        <f>'HISTORICAL FS'!E113</f>
        <v>79.3</v>
      </c>
      <c r="F959">
        <f>'HISTORICAL FS'!F113</f>
        <v>137.1</v>
      </c>
      <c r="G959">
        <f>'HISTORICAL FS'!G113</f>
        <v>757.2</v>
      </c>
      <c r="H959">
        <f>'HISTORICAL FS'!H113</f>
        <v>735.4</v>
      </c>
      <c r="I959">
        <f>'HISTORICAL FS'!I113</f>
        <v>713.7</v>
      </c>
    </row>
    <row r="960" spans="3:9" x14ac:dyDescent="0.3">
      <c r="C960" s="12" t="s">
        <v>122</v>
      </c>
      <c r="E960">
        <f>'HISTORICAL FS'!E114</f>
        <v>639.1</v>
      </c>
      <c r="F960">
        <f>'HISTORICAL FS'!F114</f>
        <v>662</v>
      </c>
      <c r="G960">
        <f>'HISTORICAL FS'!G114</f>
        <v>734.6</v>
      </c>
      <c r="H960">
        <f>'HISTORICAL FS'!H114</f>
        <v>737.3</v>
      </c>
      <c r="I960">
        <f>'HISTORICAL FS'!I114</f>
        <v>733.1</v>
      </c>
    </row>
    <row r="961" spans="3:9" x14ac:dyDescent="0.3">
      <c r="C961" s="12" t="s">
        <v>148</v>
      </c>
      <c r="E961">
        <f>'HISTORICAL FS'!E115</f>
        <v>46.2</v>
      </c>
      <c r="F961">
        <f>'HISTORICAL FS'!F115</f>
        <v>114.6</v>
      </c>
      <c r="G961">
        <f>'HISTORICAL FS'!G115</f>
        <v>38</v>
      </c>
      <c r="H961">
        <f>'HISTORICAL FS'!H115</f>
        <v>32.700000000000003</v>
      </c>
      <c r="I961">
        <f>'HISTORICAL FS'!I115</f>
        <v>35.200000000000003</v>
      </c>
    </row>
    <row r="962" spans="3:9" x14ac:dyDescent="0.3">
      <c r="C962" s="12" t="s">
        <v>149</v>
      </c>
      <c r="E962">
        <f>'HISTORICAL FS'!E116</f>
        <v>156.9</v>
      </c>
      <c r="F962">
        <f>'HISTORICAL FS'!F116</f>
        <v>157.5</v>
      </c>
      <c r="G962">
        <f>'HISTORICAL FS'!G116</f>
        <v>59.3</v>
      </c>
      <c r="H962">
        <f>'HISTORICAL FS'!H116</f>
        <v>30.8</v>
      </c>
      <c r="I962">
        <f>'HISTORICAL FS'!I116</f>
        <v>23</v>
      </c>
    </row>
    <row r="963" spans="3:9" x14ac:dyDescent="0.3">
      <c r="C963" s="12" t="s">
        <v>150</v>
      </c>
      <c r="E963">
        <f>'HISTORICAL FS'!E117</f>
        <v>18</v>
      </c>
      <c r="I963">
        <f>'HISTORICAL FS'!I117</f>
        <v>0.2</v>
      </c>
    </row>
    <row r="964" spans="3:9" x14ac:dyDescent="0.3">
      <c r="C964" s="12" t="s">
        <v>74</v>
      </c>
      <c r="E964">
        <f>'HISTORICAL FS'!E118</f>
        <v>34</v>
      </c>
      <c r="F964">
        <f>'HISTORICAL FS'!F118</f>
        <v>33.299999999999997</v>
      </c>
    </row>
    <row r="965" spans="3:9" x14ac:dyDescent="0.3">
      <c r="C965" s="41" t="s">
        <v>75</v>
      </c>
      <c r="E965" s="47">
        <f>SUM(E958:E964)</f>
        <v>1574.6000000000001</v>
      </c>
      <c r="F965" s="47">
        <f>SUM(F958:F964)</f>
        <v>1749.3</v>
      </c>
      <c r="G965" s="47">
        <f>SUM(G958:G964)</f>
        <v>2276.6000000000004</v>
      </c>
      <c r="H965" s="47">
        <f>SUM(H958:H964)</f>
        <v>2222.6</v>
      </c>
      <c r="I965" s="47">
        <f>SUM(I958:I964)</f>
        <v>2172.8999999999996</v>
      </c>
    </row>
    <row r="967" spans="3:9" x14ac:dyDescent="0.3">
      <c r="C967" s="12"/>
    </row>
    <row r="968" spans="3:9" x14ac:dyDescent="0.3">
      <c r="C968" s="41" t="s">
        <v>76</v>
      </c>
    </row>
    <row r="969" spans="3:9" x14ac:dyDescent="0.3">
      <c r="C969" s="12" t="str">
        <f>'HISTORICAL FS'!C123</f>
        <v>Inventories</v>
      </c>
      <c r="E969">
        <f>'HISTORICAL FS'!E123</f>
        <v>633</v>
      </c>
      <c r="F969">
        <f>'HISTORICAL FS'!F123</f>
        <v>662.2</v>
      </c>
      <c r="G969">
        <f>'HISTORICAL FS'!G123</f>
        <v>769</v>
      </c>
      <c r="H969">
        <f>'HISTORICAL FS'!H123</f>
        <v>865.2</v>
      </c>
      <c r="I969">
        <f>'HISTORICAL FS'!I123</f>
        <v>949.5</v>
      </c>
    </row>
    <row r="970" spans="3:9" x14ac:dyDescent="0.3">
      <c r="C970" s="12" t="str">
        <f>'HISTORICAL FS'!C124</f>
        <v>Customer &amp; Other Receivables</v>
      </c>
      <c r="E970">
        <f>'HISTORICAL FS'!E124</f>
        <v>1280.9000000000001</v>
      </c>
      <c r="F970">
        <f>'HISTORICAL FS'!F124</f>
        <v>1425.5</v>
      </c>
      <c r="G970">
        <f>'HISTORICAL FS'!G124</f>
        <v>1452.8</v>
      </c>
      <c r="H970">
        <f>'HISTORICAL FS'!H124</f>
        <v>1508.4</v>
      </c>
      <c r="I970">
        <f>'HISTORICAL FS'!I124</f>
        <v>1660.6</v>
      </c>
    </row>
    <row r="971" spans="3:9" x14ac:dyDescent="0.3">
      <c r="C971" s="12" t="str">
        <f>'HISTORICAL FS'!C125</f>
        <v>Right of return Asset</v>
      </c>
      <c r="E971">
        <f>'HISTORICAL FS'!E125</f>
        <v>24.8</v>
      </c>
      <c r="F971">
        <f>'HISTORICAL FS'!F125</f>
        <v>32.700000000000003</v>
      </c>
      <c r="G971">
        <f>'HISTORICAL FS'!G125</f>
        <v>30.7</v>
      </c>
      <c r="H971">
        <f>'HISTORICAL FS'!H125</f>
        <v>34.799999999999997</v>
      </c>
      <c r="I971">
        <f>'HISTORICAL FS'!I125</f>
        <v>29.7</v>
      </c>
    </row>
    <row r="972" spans="3:9" x14ac:dyDescent="0.3">
      <c r="C972" s="12" t="str">
        <f>'HISTORICAL FS'!C126</f>
        <v>other financial Assets</v>
      </c>
      <c r="E972">
        <f>'HISTORICAL FS'!E126</f>
        <v>35.5</v>
      </c>
      <c r="F972">
        <f>'HISTORICAL FS'!F126</f>
        <v>9.1</v>
      </c>
      <c r="G972">
        <f>'HISTORICAL FS'!G126</f>
        <v>6.9</v>
      </c>
      <c r="H972">
        <f>'HISTORICAL FS'!H126</f>
        <v>31.8</v>
      </c>
      <c r="I972">
        <f>'HISTORICAL FS'!I126</f>
        <v>6.4</v>
      </c>
    </row>
    <row r="973" spans="3:9" x14ac:dyDescent="0.3">
      <c r="C973" s="12" t="str">
        <f>'HISTORICAL FS'!C127</f>
        <v>current  tax assets</v>
      </c>
      <c r="H973">
        <f>'HISTORICAL FS'!H127</f>
        <v>9.3000000000000007</v>
      </c>
    </row>
    <row r="974" spans="3:9" x14ac:dyDescent="0.3">
      <c r="C974" s="12" t="str">
        <f>'HISTORICAL FS'!C128</f>
        <v>cash and short term deposits</v>
      </c>
      <c r="E974">
        <f>'HISTORICAL FS'!E128</f>
        <v>433</v>
      </c>
      <c r="F974">
        <f>'HISTORICAL FS'!F128</f>
        <v>105</v>
      </c>
      <c r="G974">
        <f>'HISTORICAL FS'!G128</f>
        <v>188.3</v>
      </c>
      <c r="H974">
        <f>'HISTORICAL FS'!H128</f>
        <v>200.4</v>
      </c>
      <c r="I974">
        <f>'HISTORICAL FS'!I128</f>
        <v>96.2</v>
      </c>
    </row>
    <row r="975" spans="3:9" x14ac:dyDescent="0.3">
      <c r="C975" s="41" t="s">
        <v>78</v>
      </c>
      <c r="E975" s="47">
        <f>SUM(E969:E974)</f>
        <v>2407.1999999999998</v>
      </c>
      <c r="F975" s="47">
        <f>SUM(F969:F974)</f>
        <v>2234.4999999999995</v>
      </c>
      <c r="G975" s="47">
        <f>SUM(G969:G974)</f>
        <v>2447.7000000000003</v>
      </c>
      <c r="H975" s="47">
        <f>SUM(H969:H974)</f>
        <v>2649.900000000001</v>
      </c>
      <c r="I975" s="47">
        <f>SUM(I969:I974)</f>
        <v>2742.3999999999996</v>
      </c>
    </row>
    <row r="977" spans="3:9" x14ac:dyDescent="0.3">
      <c r="C977" s="41" t="s">
        <v>154</v>
      </c>
      <c r="E977" s="2">
        <f>E975+E965</f>
        <v>3981.8</v>
      </c>
      <c r="F977" s="2">
        <f>F975+F965</f>
        <v>3983.7999999999993</v>
      </c>
      <c r="G977" s="2">
        <f>G975+G965</f>
        <v>4724.3000000000011</v>
      </c>
      <c r="H977" s="2">
        <f>H975+H965</f>
        <v>4872.5000000000009</v>
      </c>
      <c r="I977" s="2">
        <f>I975+I965</f>
        <v>4915.2999999999993</v>
      </c>
    </row>
    <row r="978" spans="3:9" x14ac:dyDescent="0.3">
      <c r="C978" s="12"/>
    </row>
    <row r="979" spans="3:9" x14ac:dyDescent="0.3">
      <c r="C979" s="41" t="s">
        <v>80</v>
      </c>
    </row>
    <row r="980" spans="3:9" x14ac:dyDescent="0.3">
      <c r="C980" s="12" t="str">
        <f>'HISTORICAL FS'!C134</f>
        <v>Bank loans and overdrafts</v>
      </c>
      <c r="E980" s="12">
        <f>'HISTORICAL FS'!E134</f>
        <v>233.1</v>
      </c>
      <c r="F980" s="12">
        <f>'HISTORICAL FS'!F134</f>
        <v>102.3</v>
      </c>
      <c r="G980" s="12">
        <f>'HISTORICAL FS'!G134</f>
        <v>58.7</v>
      </c>
      <c r="H980" s="12">
        <f>'HISTORICAL FS'!H134</f>
        <v>60.6</v>
      </c>
      <c r="I980" s="12">
        <f>'HISTORICAL FS'!I134</f>
        <v>96</v>
      </c>
    </row>
    <row r="981" spans="3:9" x14ac:dyDescent="0.3">
      <c r="C981" s="12" t="str">
        <f>'HISTORICAL FS'!C135</f>
        <v>Corporate bonds</v>
      </c>
      <c r="E981" s="12"/>
      <c r="F981" s="12"/>
      <c r="G981" s="12"/>
      <c r="H981" s="12">
        <f>'HISTORICAL FS'!H135</f>
        <v>250</v>
      </c>
      <c r="I981" s="12">
        <f>'HISTORICAL FS'!I135</f>
        <v>112.9</v>
      </c>
    </row>
    <row r="982" spans="3:9" x14ac:dyDescent="0.3">
      <c r="C982" s="12" t="str">
        <f>'HISTORICAL FS'!C136</f>
        <v>Trade Payables  &amp; Other Liabilities</v>
      </c>
      <c r="E982" s="12">
        <f>'HISTORICAL FS'!E136</f>
        <v>798.4</v>
      </c>
      <c r="F982" s="12">
        <f>'HISTORICAL FS'!F136</f>
        <v>791.1</v>
      </c>
      <c r="G982" s="12">
        <f>'HISTORICAL FS'!G136</f>
        <v>991.8</v>
      </c>
      <c r="H982" s="12">
        <f>'HISTORICAL FS'!H136</f>
        <v>1076.7</v>
      </c>
      <c r="I982" s="12">
        <f>'HISTORICAL FS'!I136</f>
        <v>1132.4000000000001</v>
      </c>
    </row>
    <row r="983" spans="3:9" x14ac:dyDescent="0.3">
      <c r="C983" s="12" t="str">
        <f>'HISTORICAL FS'!C137</f>
        <v>Lease liabilities</v>
      </c>
      <c r="E983" s="12">
        <f>'HISTORICAL FS'!E137</f>
        <v>162.6</v>
      </c>
      <c r="F983" s="12">
        <f>'HISTORICAL FS'!F137</f>
        <v>146.19999999999999</v>
      </c>
      <c r="G983" s="12">
        <f>'HISTORICAL FS'!G137</f>
        <v>167.8</v>
      </c>
      <c r="H983" s="12">
        <f>'HISTORICAL FS'!H137</f>
        <v>170.8</v>
      </c>
      <c r="I983" s="12">
        <f>'HISTORICAL FS'!I137</f>
        <v>168.1</v>
      </c>
    </row>
    <row r="984" spans="3:9" x14ac:dyDescent="0.3">
      <c r="C984" s="12" t="str">
        <f>'HISTORICAL FS'!C138</f>
        <v>other financial liabailities</v>
      </c>
      <c r="E984" s="12">
        <f>'HISTORICAL FS'!E138</f>
        <v>1</v>
      </c>
      <c r="F984" s="12">
        <f>'HISTORICAL FS'!F138</f>
        <v>40.799999999999997</v>
      </c>
      <c r="G984" s="12">
        <f>'HISTORICAL FS'!G138</f>
        <v>18.8</v>
      </c>
      <c r="H984" s="12">
        <f>'HISTORICAL FS'!H138</f>
        <v>8.3000000000000007</v>
      </c>
      <c r="I984" s="12">
        <f>'HISTORICAL FS'!I138</f>
        <v>35.5</v>
      </c>
    </row>
    <row r="985" spans="3:9" x14ac:dyDescent="0.3">
      <c r="C985" s="12" t="str">
        <f>'HISTORICAL FS'!C139</f>
        <v>Current Tax Liabilities</v>
      </c>
      <c r="E985" s="12">
        <f>'HISTORICAL FS'!E139</f>
        <v>13</v>
      </c>
      <c r="F985" s="12">
        <f>'HISTORICAL FS'!F139</f>
        <v>12.9</v>
      </c>
      <c r="G985" s="12">
        <f>'HISTORICAL FS'!G139</f>
        <v>8.6</v>
      </c>
      <c r="H985" s="12"/>
      <c r="I985" s="12">
        <f>'HISTORICAL FS'!I139</f>
        <v>9.1999999999999993</v>
      </c>
    </row>
    <row r="986" spans="3:9" x14ac:dyDescent="0.3">
      <c r="C986" s="41" t="s">
        <v>163</v>
      </c>
      <c r="E986" s="47">
        <f>SUM(E980:E985)</f>
        <v>1208.0999999999999</v>
      </c>
      <c r="F986" s="47">
        <f>SUM(F980:F985)</f>
        <v>1093.3</v>
      </c>
      <c r="G986" s="47">
        <f>SUM(G980:G985)</f>
        <v>1245.6999999999998</v>
      </c>
      <c r="H986" s="47">
        <f>SUM(H980:H985)</f>
        <v>1566.4</v>
      </c>
      <c r="I986" s="47">
        <f>SUM(I980:I985)</f>
        <v>1554.1000000000001</v>
      </c>
    </row>
    <row r="987" spans="3:9" x14ac:dyDescent="0.3">
      <c r="C987" s="41"/>
    </row>
    <row r="989" spans="3:9" x14ac:dyDescent="0.3">
      <c r="C989" s="41" t="s">
        <v>79</v>
      </c>
    </row>
    <row r="990" spans="3:9" x14ac:dyDescent="0.3">
      <c r="C990" s="12" t="str">
        <f>'HISTORICAL FS'!C144</f>
        <v>Bank loans and overdraft</v>
      </c>
      <c r="E990" s="12"/>
      <c r="F990" s="12"/>
      <c r="G990" s="12">
        <f>'HISTORICAL FS'!G144</f>
        <v>29.5</v>
      </c>
      <c r="H990" s="12"/>
      <c r="I990" s="12"/>
    </row>
    <row r="991" spans="3:9" x14ac:dyDescent="0.3">
      <c r="C991" s="12" t="str">
        <f>'HISTORICAL FS'!C145</f>
        <v>Corporate bonds</v>
      </c>
      <c r="E991" s="12">
        <f>'HISTORICAL FS'!E145</f>
        <v>815.7</v>
      </c>
      <c r="F991" s="12">
        <f>'HISTORICAL FS'!F145</f>
        <v>790.7</v>
      </c>
      <c r="G991" s="12">
        <f>'HISTORICAL FS'!G145</f>
        <v>790.8</v>
      </c>
      <c r="H991" s="12">
        <f>'HISTORICAL FS'!H145</f>
        <v>543.79999999999995</v>
      </c>
      <c r="I991" s="12">
        <f>'HISTORICAL FS'!I145</f>
        <v>600</v>
      </c>
    </row>
    <row r="992" spans="3:9" x14ac:dyDescent="0.3">
      <c r="C992" s="12" t="str">
        <f>'HISTORICAL FS'!C146</f>
        <v>provisions</v>
      </c>
      <c r="E992" s="12">
        <f>'HISTORICAL FS'!E146</f>
        <v>21.9</v>
      </c>
      <c r="F992" s="12">
        <f>'HISTORICAL FS'!F146</f>
        <v>33.799999999999997</v>
      </c>
      <c r="G992" s="12">
        <f>'HISTORICAL FS'!G146</f>
        <v>52.4</v>
      </c>
      <c r="H992" s="12">
        <f>'HISTORICAL FS'!H146</f>
        <v>55.7</v>
      </c>
      <c r="I992" s="12">
        <f>'HISTORICAL FS'!I146</f>
        <v>58.5</v>
      </c>
    </row>
    <row r="993" spans="3:9" x14ac:dyDescent="0.3">
      <c r="C993" s="12" t="str">
        <f>'HISTORICAL FS'!C147</f>
        <v>lease liabilities</v>
      </c>
      <c r="E993" s="12">
        <f>'HISTORICAL FS'!E147</f>
        <v>894.9</v>
      </c>
      <c r="F993" s="12">
        <f>'HISTORICAL FS'!F147</f>
        <v>877.1</v>
      </c>
      <c r="G993" s="12">
        <f>'HISTORICAL FS'!G147</f>
        <v>869.9</v>
      </c>
      <c r="H993" s="12">
        <f>'HISTORICAL FS'!H147</f>
        <v>843.6</v>
      </c>
      <c r="I993" s="12">
        <f>'HISTORICAL FS'!I147</f>
        <v>831.7</v>
      </c>
    </row>
    <row r="994" spans="3:9" x14ac:dyDescent="0.3">
      <c r="C994" s="12" t="str">
        <f>'HISTORICAL FS'!C148</f>
        <v>other financial liabailities</v>
      </c>
      <c r="E994" s="12"/>
      <c r="F994" s="12">
        <f>'HISTORICAL FS'!F148</f>
        <v>9.5</v>
      </c>
      <c r="G994" s="12">
        <f>'HISTORICAL FS'!G148</f>
        <v>37.4</v>
      </c>
      <c r="H994" s="12">
        <f>'HISTORICAL FS'!H148</f>
        <v>39.1</v>
      </c>
      <c r="I994" s="12">
        <f>'HISTORICAL FS'!I148</f>
        <v>38.200000000000003</v>
      </c>
    </row>
    <row r="995" spans="3:9" x14ac:dyDescent="0.3">
      <c r="C995" s="12" t="str">
        <f>'HISTORICAL FS'!C149</f>
        <v>other liabilities</v>
      </c>
      <c r="E995" s="12">
        <f>'HISTORICAL FS'!E149</f>
        <v>31.2</v>
      </c>
      <c r="F995" s="12">
        <f>'HISTORICAL FS'!F149</f>
        <v>14.3</v>
      </c>
      <c r="G995" s="12">
        <f>'HISTORICAL FS'!G149</f>
        <v>11.7</v>
      </c>
      <c r="H995" s="12">
        <f>'HISTORICAL FS'!H149</f>
        <v>11.5</v>
      </c>
      <c r="I995" s="12">
        <f>'HISTORICAL FS'!I149</f>
        <v>17.600000000000001</v>
      </c>
    </row>
    <row r="996" spans="3:9" x14ac:dyDescent="0.3">
      <c r="C996" s="12" t="str">
        <f>'HISTORICAL FS'!C150</f>
        <v>Deferred tax liabilities</v>
      </c>
      <c r="E996" s="12"/>
      <c r="F996" s="12"/>
      <c r="G996" s="12">
        <f>'HISTORICAL FS'!G150</f>
        <v>48.1</v>
      </c>
      <c r="H996" s="12">
        <f>'HISTORICAL FS'!H150</f>
        <v>58.1</v>
      </c>
      <c r="I996" s="12">
        <f>'HISTORICAL FS'!I150</f>
        <v>34.700000000000003</v>
      </c>
    </row>
    <row r="997" spans="3:9" x14ac:dyDescent="0.3">
      <c r="C997" s="41" t="str">
        <f>'HISTORICAL FS'!C151</f>
        <v>TOTAL NON  CURRENT LIABILITIES</v>
      </c>
      <c r="E997" s="47">
        <f>SUM(E990:E996)</f>
        <v>1763.7</v>
      </c>
      <c r="F997" s="47">
        <f>SUM(F990:F996)</f>
        <v>1725.3999999999999</v>
      </c>
      <c r="G997" s="47">
        <f>SUM(G990:G996)</f>
        <v>1839.8</v>
      </c>
      <c r="H997" s="47">
        <f>SUM(H990:H996)</f>
        <v>1551.7999999999997</v>
      </c>
      <c r="I997" s="47">
        <f>SUM(I990:I996)</f>
        <v>1580.7</v>
      </c>
    </row>
    <row r="998" spans="3:9" x14ac:dyDescent="0.3">
      <c r="C998" s="41"/>
      <c r="E998" s="2"/>
      <c r="F998" s="2"/>
      <c r="G998" s="2"/>
      <c r="H998" s="2"/>
      <c r="I998" s="2"/>
    </row>
    <row r="999" spans="3:9" x14ac:dyDescent="0.3">
      <c r="C999" s="41" t="str">
        <f>'HISTORICAL FS'!C153</f>
        <v>Total liabilities</v>
      </c>
      <c r="E999" s="41">
        <f>E997+E986</f>
        <v>2971.8</v>
      </c>
      <c r="F999" s="41">
        <f>F997+F986</f>
        <v>2818.7</v>
      </c>
      <c r="G999" s="41">
        <f>G997+G986</f>
        <v>3085.5</v>
      </c>
      <c r="H999" s="41">
        <f>H997+H986</f>
        <v>3118.2</v>
      </c>
      <c r="I999" s="41">
        <f>I997+I986</f>
        <v>3134.8</v>
      </c>
    </row>
    <row r="1000" spans="3:9" x14ac:dyDescent="0.3">
      <c r="C1000" s="41"/>
    </row>
    <row r="1001" spans="3:9" x14ac:dyDescent="0.3">
      <c r="C1001" s="41" t="str">
        <f>'HISTORICAL FS'!C155</f>
        <v>Net Assets</v>
      </c>
      <c r="E1001" s="2">
        <f>E977-E999</f>
        <v>1010</v>
      </c>
      <c r="F1001" s="2">
        <f>F977-F999</f>
        <v>1165.0999999999995</v>
      </c>
      <c r="G1001" s="2">
        <f>G977-G999</f>
        <v>1638.8000000000011</v>
      </c>
      <c r="H1001" s="2">
        <f>H977-H999</f>
        <v>1754.3000000000011</v>
      </c>
      <c r="I1001" s="2">
        <f>I977-I999</f>
        <v>1780.4999999999991</v>
      </c>
    </row>
    <row r="1002" spans="3:9" x14ac:dyDescent="0.3">
      <c r="C1002" s="41"/>
    </row>
    <row r="1003" spans="3:9" x14ac:dyDescent="0.3">
      <c r="C1003" s="41"/>
    </row>
    <row r="1004" spans="3:9" x14ac:dyDescent="0.3">
      <c r="C1004" s="41" t="str">
        <f>'HISTORICAL FS'!C158</f>
        <v>TOTAL EQUITY</v>
      </c>
      <c r="E1004" s="41">
        <f>'HISTORICAL FS'!E158</f>
        <v>1010</v>
      </c>
      <c r="F1004" s="41">
        <f>'HISTORICAL FS'!F158</f>
        <v>1165.0999999999999</v>
      </c>
      <c r="G1004" s="41">
        <f>'HISTORICAL FS'!G158</f>
        <v>1638.8</v>
      </c>
      <c r="H1004" s="41">
        <f>'HISTORICAL FS'!H158</f>
        <v>1754.3</v>
      </c>
      <c r="I1004" s="41">
        <f>'HISTORICAL FS'!I158</f>
        <v>1780.5</v>
      </c>
    </row>
    <row r="1005" spans="3:9" x14ac:dyDescent="0.3">
      <c r="C1005" s="41"/>
    </row>
    <row r="1006" spans="3:9" x14ac:dyDescent="0.3">
      <c r="C1006" s="41" t="str">
        <f>'HISTORICAL FS'!C160</f>
        <v>CHECK</v>
      </c>
      <c r="D1006">
        <f>SUM(E1006:I1006)</f>
        <v>0</v>
      </c>
      <c r="E1006">
        <f>E1001-E1004</f>
        <v>0</v>
      </c>
      <c r="F1006">
        <f>F1001-F1004</f>
        <v>0</v>
      </c>
      <c r="G1006">
        <f>G1001-G1004</f>
        <v>0</v>
      </c>
      <c r="H1006">
        <f>H1001-H1004</f>
        <v>0</v>
      </c>
      <c r="I1006">
        <f>I1001-I1004</f>
        <v>0</v>
      </c>
    </row>
    <row r="1007" spans="3:9" x14ac:dyDescent="0.3">
      <c r="C1007" s="12"/>
    </row>
    <row r="1008" spans="3:9" x14ac:dyDescent="0.3">
      <c r="C1008" s="12"/>
    </row>
    <row r="1009" spans="2:9" x14ac:dyDescent="0.3">
      <c r="C1009" s="12"/>
    </row>
    <row r="1010" spans="2:9" x14ac:dyDescent="0.3">
      <c r="C1010" s="41" t="s">
        <v>617</v>
      </c>
      <c r="E1010">
        <f>E980+E981+E990+E991</f>
        <v>1048.8</v>
      </c>
      <c r="F1010">
        <f>F980+F981+F990+F991</f>
        <v>893</v>
      </c>
      <c r="G1010">
        <f>G980+G981+G990+G991</f>
        <v>879</v>
      </c>
      <c r="H1010">
        <f>H980+H981+H990+H991</f>
        <v>854.4</v>
      </c>
      <c r="I1010">
        <f>I980+I981+I990+I991</f>
        <v>808.9</v>
      </c>
    </row>
    <row r="1011" spans="2:9" x14ac:dyDescent="0.3">
      <c r="C1011" s="41" t="s">
        <v>618</v>
      </c>
      <c r="E1011">
        <f>E980+E981+E983+E990+E991+E993</f>
        <v>2106.3000000000002</v>
      </c>
      <c r="F1011">
        <f>F980+F981+F983+F990+F991+F993</f>
        <v>1916.3000000000002</v>
      </c>
      <c r="G1011">
        <f>G980+G981+G983+G990+G991+G993</f>
        <v>1916.6999999999998</v>
      </c>
      <c r="H1011">
        <f>H980+H981+H983+H990+H991+H993</f>
        <v>1868.8000000000002</v>
      </c>
      <c r="I1011">
        <f>I980+I981+I983+I990+I991+I993</f>
        <v>1808.7</v>
      </c>
    </row>
    <row r="1012" spans="2:9" x14ac:dyDescent="0.3">
      <c r="C1012" s="41" t="s">
        <v>632</v>
      </c>
      <c r="E1012">
        <f>E1011-E974+E1004</f>
        <v>2683.3</v>
      </c>
      <c r="F1012">
        <f>F1011-F974+F1004</f>
        <v>2976.4</v>
      </c>
      <c r="G1012">
        <f>G1011-G974+G1004</f>
        <v>3367.2</v>
      </c>
      <c r="H1012">
        <f>H1011-H974+H1004</f>
        <v>3422.7</v>
      </c>
      <c r="I1012">
        <f>I1011-I974+I1004</f>
        <v>3493</v>
      </c>
    </row>
    <row r="1013" spans="2:9" x14ac:dyDescent="0.3">
      <c r="C1013" s="41"/>
    </row>
    <row r="1014" spans="2:9" x14ac:dyDescent="0.3">
      <c r="B1014" t="s">
        <v>619</v>
      </c>
      <c r="C1014" s="41" t="s">
        <v>294</v>
      </c>
    </row>
    <row r="1015" spans="2:9" x14ac:dyDescent="0.3">
      <c r="C1015" s="12" t="s">
        <v>470</v>
      </c>
      <c r="E1015">
        <f>E975/E986</f>
        <v>1.9925502855723864</v>
      </c>
      <c r="F1015">
        <f>F975/F986</f>
        <v>2.0438123113509556</v>
      </c>
      <c r="G1015">
        <f>G975/G986</f>
        <v>1.9649193224692949</v>
      </c>
      <c r="H1015">
        <f>H975/H986</f>
        <v>1.6917134831460681</v>
      </c>
      <c r="I1015">
        <f>I975/I986</f>
        <v>1.7646226111575827</v>
      </c>
    </row>
    <row r="1016" spans="2:9" x14ac:dyDescent="0.3">
      <c r="C1016" s="12" t="s">
        <v>471</v>
      </c>
      <c r="E1016">
        <f>(E975-E969)/E986</f>
        <v>1.4685870374968959</v>
      </c>
      <c r="F1016">
        <f>(F975-F969)/F986</f>
        <v>1.4381231135095578</v>
      </c>
      <c r="G1016">
        <f>(G975-G969)/G986</f>
        <v>1.3475957293088228</v>
      </c>
      <c r="H1016">
        <f>(H975-H969)/H986</f>
        <v>1.1393641470888667</v>
      </c>
      <c r="I1016">
        <f>(I975-I969)/I986</f>
        <v>1.1536580657615336</v>
      </c>
    </row>
    <row r="1017" spans="2:9" x14ac:dyDescent="0.3">
      <c r="C1017" s="12" t="s">
        <v>472</v>
      </c>
      <c r="E1017">
        <f>E1011/E1004</f>
        <v>2.0854455445544557</v>
      </c>
      <c r="F1017">
        <f>F1011/F1004</f>
        <v>1.6447515234743801</v>
      </c>
      <c r="G1017">
        <f>G1011/G1004</f>
        <v>1.1695752989992676</v>
      </c>
      <c r="H1017">
        <f>H1011/H1004</f>
        <v>1.0652681981417091</v>
      </c>
      <c r="I1017">
        <f>I1011/I1004</f>
        <v>1.0158382476832351</v>
      </c>
    </row>
    <row r="1018" spans="2:9" x14ac:dyDescent="0.3">
      <c r="C1018" s="12" t="s">
        <v>626</v>
      </c>
      <c r="E1018" s="60">
        <f>E1011/(E1004+E1011)</f>
        <v>0.67589769919455767</v>
      </c>
      <c r="F1018" s="60">
        <f>F1011/(F1004+F1011)</f>
        <v>0.62189264619977935</v>
      </c>
      <c r="G1018" s="60">
        <f>G1011/(G1004+G1011)</f>
        <v>0.53908029812965819</v>
      </c>
      <c r="H1018" s="60">
        <f>H1011/(H1004+H1011)</f>
        <v>0.5158013855538075</v>
      </c>
      <c r="I1018" s="60">
        <f>I1011/(I1004+I1011)</f>
        <v>0.50392845202273495</v>
      </c>
    </row>
    <row r="1019" spans="2:9" x14ac:dyDescent="0.3">
      <c r="C1019" s="12" t="s">
        <v>616</v>
      </c>
      <c r="E1019">
        <f>E1011/E826</f>
        <v>1.9028819224862239</v>
      </c>
      <c r="F1019">
        <f>F1011/F826</f>
        <v>1.6731860647865204</v>
      </c>
      <c r="G1019">
        <f>G1011/G826</f>
        <v>1.5329920819003438</v>
      </c>
      <c r="H1019">
        <f>H1011/H826</f>
        <v>1.2945952311678242</v>
      </c>
      <c r="I1019">
        <f>I1011/I826</f>
        <v>1.1091963891478189</v>
      </c>
    </row>
    <row r="1024" spans="2:9" x14ac:dyDescent="0.3">
      <c r="C1024" s="41" t="s">
        <v>305</v>
      </c>
    </row>
    <row r="1025" spans="3:9" x14ac:dyDescent="0.3">
      <c r="C1025" s="12" t="s">
        <v>463</v>
      </c>
    </row>
    <row r="1026" spans="3:9" x14ac:dyDescent="0.3">
      <c r="C1026" s="12" t="s">
        <v>464</v>
      </c>
    </row>
    <row r="1027" spans="3:9" x14ac:dyDescent="0.3">
      <c r="C1027" s="12" t="s">
        <v>462</v>
      </c>
    </row>
    <row r="1028" spans="3:9" x14ac:dyDescent="0.3">
      <c r="C1028" s="12" t="s">
        <v>461</v>
      </c>
    </row>
    <row r="1029" spans="3:9" x14ac:dyDescent="0.3">
      <c r="C1029" s="12" t="s">
        <v>465</v>
      </c>
    </row>
    <row r="1030" spans="3:9" x14ac:dyDescent="0.3">
      <c r="C1030" s="12" t="s">
        <v>466</v>
      </c>
    </row>
    <row r="1031" spans="3:9" x14ac:dyDescent="0.3">
      <c r="C1031" s="12" t="s">
        <v>467</v>
      </c>
    </row>
    <row r="1032" spans="3:9" x14ac:dyDescent="0.3">
      <c r="C1032" s="12" t="s">
        <v>468</v>
      </c>
    </row>
    <row r="1033" spans="3:9" x14ac:dyDescent="0.3">
      <c r="C1033" s="12" t="s">
        <v>469</v>
      </c>
    </row>
    <row r="1034" spans="3:9" x14ac:dyDescent="0.3">
      <c r="C1034" s="12" t="s">
        <v>630</v>
      </c>
      <c r="F1034">
        <f>AVERAGE(E977:F977)/AVERAGE(E1004:F1004)</f>
        <v>3.6621764516573951</v>
      </c>
      <c r="G1034">
        <f>AVERAGE(F977:G977)/AVERAGE(F1004:G1004)</f>
        <v>3.1057099040621998</v>
      </c>
      <c r="H1034">
        <f>AVERAGE(G977:H977)/AVERAGE(G1004:H1004)</f>
        <v>2.8283280775691853</v>
      </c>
      <c r="I1034">
        <f>AVERAGE(H977:I977)/AVERAGE(H1004:I1004)</f>
        <v>2.7689826864320466</v>
      </c>
    </row>
    <row r="1035" spans="3:9" x14ac:dyDescent="0.3">
      <c r="C1035" s="12" t="s">
        <v>625</v>
      </c>
      <c r="F1035">
        <f>F753/AVERAGE(E977:F977)</f>
        <v>1.2639349201566736</v>
      </c>
      <c r="G1035">
        <f>G753/AVERAGE(F977:G977)</f>
        <v>1.2611246999919614</v>
      </c>
      <c r="H1035">
        <f>H753/AVERAGE(G977:H977)</f>
        <v>1.2750291763921302</v>
      </c>
      <c r="I1035">
        <f>I753/AVERAGE(H977:I977)</f>
        <v>1.4101841067451317</v>
      </c>
    </row>
    <row r="1037" spans="3:9" x14ac:dyDescent="0.3">
      <c r="C1037" s="41"/>
    </row>
    <row r="1038" spans="3:9" x14ac:dyDescent="0.3">
      <c r="C1038" s="41"/>
    </row>
    <row r="1039" spans="3:9" x14ac:dyDescent="0.3">
      <c r="C1039" s="41"/>
    </row>
    <row r="1040" spans="3:9" x14ac:dyDescent="0.3">
      <c r="C1040" s="12"/>
    </row>
    <row r="1041" spans="2:33" ht="33.6" x14ac:dyDescent="0.3">
      <c r="C1041" s="58" t="s">
        <v>128</v>
      </c>
    </row>
    <row r="1042" spans="2:33" ht="21" x14ac:dyDescent="0.3">
      <c r="C1042" s="68" t="s">
        <v>444</v>
      </c>
    </row>
    <row r="1043" spans="2:33" ht="21" x14ac:dyDescent="0.3">
      <c r="C1043" s="68"/>
    </row>
    <row r="1044" spans="2:33" x14ac:dyDescent="0.3">
      <c r="B1044" s="41" t="s">
        <v>634</v>
      </c>
    </row>
    <row r="1045" spans="2:33" x14ac:dyDescent="0.3">
      <c r="C1045" s="2" t="s">
        <v>131</v>
      </c>
      <c r="J1045">
        <v>2027</v>
      </c>
      <c r="K1045">
        <v>2028</v>
      </c>
      <c r="L1045">
        <v>2029</v>
      </c>
      <c r="M1045">
        <v>2030</v>
      </c>
      <c r="N1045">
        <v>2031</v>
      </c>
      <c r="AC1045">
        <v>2022</v>
      </c>
      <c r="AD1045">
        <f>AC1045+1</f>
        <v>2023</v>
      </c>
      <c r="AE1045">
        <f>AD1045+1</f>
        <v>2024</v>
      </c>
      <c r="AF1045">
        <f>AE1045+1</f>
        <v>2025</v>
      </c>
      <c r="AG1045">
        <f>AF1045+1</f>
        <v>2026</v>
      </c>
    </row>
    <row r="1046" spans="2:33" x14ac:dyDescent="0.3">
      <c r="C1046" s="12" t="s">
        <v>238</v>
      </c>
      <c r="H1046">
        <v>2302.6999999999998</v>
      </c>
      <c r="I1046">
        <v>2587.4</v>
      </c>
      <c r="J1046">
        <f>J1137-'HISTORICAL FS'!AH472</f>
        <v>2703.8500000000004</v>
      </c>
      <c r="K1046">
        <f>J1046*(1+K1048)</f>
        <v>2893.1195000000007</v>
      </c>
      <c r="L1046">
        <f>K1046*(1+L1048)</f>
        <v>3367.5910980000008</v>
      </c>
      <c r="M1046">
        <f>L1046*(1+M1048)</f>
        <v>3711.0853899960011</v>
      </c>
      <c r="N1046">
        <f>M1046*(1+N1048)</f>
        <v>3967.150281905725</v>
      </c>
      <c r="AF1046">
        <f>H1137-H1046</f>
        <v>237.30000000000018</v>
      </c>
      <c r="AG1046">
        <f>I1137-I1046</f>
        <v>212.59999999999991</v>
      </c>
    </row>
    <row r="1047" spans="2:33" x14ac:dyDescent="0.3">
      <c r="C1047" s="12"/>
      <c r="AD1047" s="10"/>
      <c r="AE1047" s="10"/>
      <c r="AF1047" s="10"/>
      <c r="AG1047" s="10"/>
    </row>
    <row r="1048" spans="2:33" x14ac:dyDescent="0.3">
      <c r="C1048" s="12"/>
      <c r="I1048" s="70">
        <f>I1046/H1046-1</f>
        <v>0.12363746905806239</v>
      </c>
      <c r="J1048" s="60">
        <f>J1046/I1046-1</f>
        <v>4.5006570302233984E-2</v>
      </c>
      <c r="K1048" s="90">
        <v>7.0000000000000007E-2</v>
      </c>
      <c r="L1048" s="90">
        <v>0.16400000000000001</v>
      </c>
      <c r="M1048" s="90">
        <v>0.10199999999999999</v>
      </c>
      <c r="N1048" s="90">
        <v>6.9000000000000006E-2</v>
      </c>
    </row>
    <row r="1049" spans="2:33" x14ac:dyDescent="0.3">
      <c r="C1049" s="12" t="s">
        <v>239</v>
      </c>
      <c r="H1049">
        <v>898.5</v>
      </c>
      <c r="I1049">
        <v>1280.4000000000001</v>
      </c>
      <c r="J1049">
        <f>J1141-'HISTORICAL FS'!AH475</f>
        <v>1458.421</v>
      </c>
      <c r="K1049">
        <f>J1049*(1+K1050)</f>
        <v>1575.0946800000002</v>
      </c>
      <c r="L1049">
        <f>K1049*(1+L1050)</f>
        <v>1783.0071777600003</v>
      </c>
      <c r="M1049">
        <f>L1049*(1+M1050)</f>
        <v>1882.8555797145605</v>
      </c>
      <c r="N1049">
        <f>M1049*(1+N1050)</f>
        <v>2067.3754265265875</v>
      </c>
      <c r="AC1049" s="78"/>
      <c r="AD1049" s="10"/>
      <c r="AE1049" s="10"/>
      <c r="AF1049">
        <f>H1141-H1049</f>
        <v>31.5</v>
      </c>
      <c r="AG1049">
        <f>I1141-I1049</f>
        <v>16.599999999999909</v>
      </c>
    </row>
    <row r="1050" spans="2:33" x14ac:dyDescent="0.3">
      <c r="C1050" s="12"/>
      <c r="I1050" s="70">
        <f>I1049/H1049-1</f>
        <v>0.42504173622704511</v>
      </c>
      <c r="J1050" s="60">
        <f>J1049/I1049-1</f>
        <v>0.13903545766947834</v>
      </c>
      <c r="K1050" s="90">
        <v>0.08</v>
      </c>
      <c r="L1050" s="90">
        <v>0.13200000000000001</v>
      </c>
      <c r="M1050" s="90">
        <v>5.6000000000000001E-2</v>
      </c>
      <c r="N1050" s="90">
        <v>9.8000000000000004E-2</v>
      </c>
    </row>
    <row r="1051" spans="2:33" x14ac:dyDescent="0.3">
      <c r="C1051" s="41" t="s">
        <v>244</v>
      </c>
      <c r="E1051" s="33">
        <v>2863.1</v>
      </c>
      <c r="F1051" s="33">
        <v>2743.6</v>
      </c>
      <c r="G1051" s="33">
        <v>2901.4</v>
      </c>
      <c r="H1051" s="47">
        <f t="shared" ref="H1051:N1051" si="3">H1046+H1049</f>
        <v>3201.2</v>
      </c>
      <c r="I1051" s="47">
        <f t="shared" si="3"/>
        <v>3867.8</v>
      </c>
      <c r="J1051" s="2">
        <f t="shared" si="3"/>
        <v>4162.2710000000006</v>
      </c>
      <c r="K1051" s="2">
        <f t="shared" si="3"/>
        <v>4468.2141800000009</v>
      </c>
      <c r="L1051" s="2">
        <f t="shared" si="3"/>
        <v>5150.5982757600013</v>
      </c>
      <c r="M1051" s="2">
        <f t="shared" si="3"/>
        <v>5593.9409697105621</v>
      </c>
      <c r="N1051" s="2">
        <f t="shared" si="3"/>
        <v>6034.525708432313</v>
      </c>
    </row>
    <row r="1052" spans="2:33" x14ac:dyDescent="0.3">
      <c r="C1052" s="41"/>
      <c r="F1052" s="70">
        <f t="shared" ref="F1052:N1052" si="4">F1051/E1051-1</f>
        <v>-4.1737976319374148E-2</v>
      </c>
      <c r="G1052" s="70">
        <f t="shared" si="4"/>
        <v>5.7515672838606369E-2</v>
      </c>
      <c r="H1052" s="70">
        <f t="shared" si="4"/>
        <v>0.10332942717308868</v>
      </c>
      <c r="I1052" s="70">
        <f t="shared" si="4"/>
        <v>0.20823441209546423</v>
      </c>
      <c r="J1052" s="70">
        <f t="shared" si="4"/>
        <v>7.6133977971973854E-2</v>
      </c>
      <c r="K1052" s="70">
        <f t="shared" si="4"/>
        <v>7.3503906881603909E-2</v>
      </c>
      <c r="L1052" s="70">
        <f t="shared" si="4"/>
        <v>0.15271964777659797</v>
      </c>
      <c r="M1052" s="70">
        <f t="shared" si="4"/>
        <v>8.607596054171851E-2</v>
      </c>
      <c r="N1052" s="70">
        <f t="shared" si="4"/>
        <v>7.876106328389576E-2</v>
      </c>
    </row>
    <row r="1053" spans="2:33" x14ac:dyDescent="0.3">
      <c r="C1053" s="12" t="s">
        <v>262</v>
      </c>
      <c r="G1053" s="10">
        <f>AVERAGE(F1052:G1052)</f>
        <v>7.8888482596161102E-3</v>
      </c>
      <c r="H1053" s="10">
        <f>AVERAGE(G1052:H1052)</f>
        <v>8.0422550005847526E-2</v>
      </c>
      <c r="I1053" s="10">
        <f>AVERAGE(H1052:I1052)</f>
        <v>0.15578191963427646</v>
      </c>
    </row>
    <row r="1054" spans="2:33" x14ac:dyDescent="0.3">
      <c r="C1054" s="41" t="s">
        <v>246</v>
      </c>
      <c r="E1054" s="33">
        <v>1425.9</v>
      </c>
      <c r="F1054" s="33">
        <v>1849.1</v>
      </c>
      <c r="G1054" s="47">
        <v>1843.7</v>
      </c>
      <c r="H1054" s="47">
        <v>1821.2</v>
      </c>
      <c r="I1054" s="47">
        <v>1888</v>
      </c>
      <c r="J1054">
        <f>J1134-'HISTORICAL FS'!AH480</f>
        <v>1849.3050000000001</v>
      </c>
      <c r="K1054">
        <f>J1054*(1+K1056)</f>
        <v>1884.441795</v>
      </c>
      <c r="L1054">
        <f>K1054*(1+L1056)</f>
        <v>1944.74393244</v>
      </c>
      <c r="M1054">
        <f>L1054*(1+M1056)</f>
        <v>1905.8490537912</v>
      </c>
      <c r="N1054">
        <f>M1054*(1+N1056)</f>
        <v>2001.1415064807602</v>
      </c>
      <c r="AC1054">
        <f>E1134-E1054</f>
        <v>6.5</v>
      </c>
      <c r="AD1054">
        <f>F1134-F1054</f>
        <v>15.900000000000091</v>
      </c>
      <c r="AE1054">
        <f>G1134-G1054</f>
        <v>21.299999999999955</v>
      </c>
      <c r="AF1054">
        <f>H1134-H1054</f>
        <v>27.799999999999955</v>
      </c>
      <c r="AG1054">
        <f>I1134-I1054</f>
        <v>5</v>
      </c>
    </row>
    <row r="1055" spans="2:33" x14ac:dyDescent="0.3">
      <c r="C1055" s="41"/>
      <c r="G1055" s="2"/>
      <c r="H1055" s="2"/>
      <c r="I1055" s="2"/>
    </row>
    <row r="1056" spans="2:33" x14ac:dyDescent="0.3">
      <c r="C1056" s="41"/>
      <c r="F1056" s="70">
        <f>F1054/E1054-1</f>
        <v>0.29679500666245873</v>
      </c>
      <c r="G1056" s="70">
        <f>G1054/F1054-1</f>
        <v>-2.9203396246821889E-3</v>
      </c>
      <c r="H1056" s="70">
        <f>H1054/G1054-1</f>
        <v>-1.2203720778868554E-2</v>
      </c>
      <c r="I1056" s="70">
        <f>I1054/H1054-1</f>
        <v>3.6679112672962866E-2</v>
      </c>
      <c r="J1056" s="60">
        <f>J1054/I1054-1</f>
        <v>-2.0495233050847439E-2</v>
      </c>
      <c r="K1056" s="90">
        <v>1.9E-2</v>
      </c>
      <c r="L1056" s="90">
        <v>3.2000000000000001E-2</v>
      </c>
      <c r="M1056" s="90">
        <v>-0.02</v>
      </c>
      <c r="N1056" s="90">
        <v>0.05</v>
      </c>
    </row>
    <row r="1057" spans="2:33" x14ac:dyDescent="0.3">
      <c r="C1057" s="12" t="s">
        <v>245</v>
      </c>
      <c r="E1057">
        <v>249.4</v>
      </c>
      <c r="F1057">
        <v>274.39999999999998</v>
      </c>
      <c r="G1057">
        <v>292.7</v>
      </c>
      <c r="H1057">
        <v>301</v>
      </c>
      <c r="I1057">
        <v>305.7</v>
      </c>
      <c r="J1057">
        <f>J1145-'HISTORICAL FS'!AH483</f>
        <v>300.35399999999998</v>
      </c>
      <c r="K1057">
        <f>J1057*(1+K1059)</f>
        <v>289.24090199999995</v>
      </c>
      <c r="L1057">
        <f>K1057*(1+L1059)</f>
        <v>291.2655883139999</v>
      </c>
      <c r="M1057">
        <f>L1057*(1+M1059)</f>
        <v>299.42102478679192</v>
      </c>
      <c r="N1057">
        <f>M1057*(1+N1059)</f>
        <v>317.38628627399947</v>
      </c>
      <c r="AC1057" s="89">
        <f>E1145-E1057</f>
        <v>0</v>
      </c>
      <c r="AD1057" s="89">
        <f>F1145-F1057</f>
        <v>-0.39999999999997726</v>
      </c>
      <c r="AE1057" s="89">
        <f>G1145-G1057</f>
        <v>0.30000000000001137</v>
      </c>
      <c r="AF1057" s="89">
        <f>H1145-H1057</f>
        <v>-1</v>
      </c>
      <c r="AG1057" s="89">
        <f>I1145-I1057</f>
        <v>-4.6999999999999886</v>
      </c>
    </row>
    <row r="1058" spans="2:33" x14ac:dyDescent="0.3">
      <c r="C1058" s="12"/>
      <c r="AC1058" s="70"/>
      <c r="AD1058" s="70"/>
      <c r="AE1058" s="70"/>
      <c r="AF1058" s="70"/>
      <c r="AG1058" s="70"/>
    </row>
    <row r="1059" spans="2:33" x14ac:dyDescent="0.3">
      <c r="C1059" s="12"/>
      <c r="F1059" s="70">
        <f>F1057/E1057-1</f>
        <v>0.10024057738572556</v>
      </c>
      <c r="G1059" s="70">
        <f>G1057/F1057-1</f>
        <v>6.6690962099125395E-2</v>
      </c>
      <c r="H1059" s="70">
        <f>H1057/G1057-1</f>
        <v>2.8356679193713763E-2</v>
      </c>
      <c r="I1059" s="70">
        <f>I1057/H1057-1</f>
        <v>1.5614617940199249E-2</v>
      </c>
      <c r="J1059" s="60">
        <f>J1057/I1057-1</f>
        <v>-1.7487733071638867E-2</v>
      </c>
      <c r="K1059" s="90">
        <v>-3.6999999999999998E-2</v>
      </c>
      <c r="L1059" s="90">
        <v>7.0000000000000001E-3</v>
      </c>
      <c r="M1059" s="90">
        <v>2.8000000000000001E-2</v>
      </c>
      <c r="N1059" s="90">
        <v>0.06</v>
      </c>
    </row>
    <row r="1060" spans="2:33" x14ac:dyDescent="0.3">
      <c r="C1060" s="12" t="s">
        <v>801</v>
      </c>
      <c r="E1060">
        <v>11.3</v>
      </c>
      <c r="F1060">
        <v>75.7</v>
      </c>
      <c r="G1060">
        <v>363.8</v>
      </c>
      <c r="H1060">
        <v>690</v>
      </c>
      <c r="I1060">
        <v>734.3</v>
      </c>
      <c r="J1060">
        <f>J1161-'HISTORICAL FS'!AH486</f>
        <v>653.42233405687955</v>
      </c>
      <c r="K1060">
        <f>J1060*(1+K1061)</f>
        <v>722.55441700009737</v>
      </c>
      <c r="L1060">
        <f>K1060*(1+L1061)</f>
        <v>705.95747215782126</v>
      </c>
      <c r="M1060">
        <f>L1060*(1+M1061)</f>
        <v>847.14896658938551</v>
      </c>
      <c r="N1060">
        <f>M1060*(1+N1061)</f>
        <v>882.23371731716702</v>
      </c>
      <c r="AC1060">
        <f>E1074-E1060</f>
        <v>27.8</v>
      </c>
      <c r="AD1060">
        <f>F1074-F1060</f>
        <v>203.3</v>
      </c>
      <c r="AE1060">
        <f>G1074-G1060</f>
        <v>71.199999999999989</v>
      </c>
      <c r="AF1060">
        <f>H1074-H1060</f>
        <v>-94</v>
      </c>
      <c r="AG1060">
        <f>I1074-I1060</f>
        <v>-126.29999999999995</v>
      </c>
    </row>
    <row r="1061" spans="2:33" x14ac:dyDescent="0.3">
      <c r="C1061" s="12"/>
      <c r="F1061" s="70">
        <f>F1060/E1060-1</f>
        <v>5.6991150442477876</v>
      </c>
      <c r="G1061" s="70">
        <f>G1060/F1060-1</f>
        <v>3.8058124174372523</v>
      </c>
      <c r="H1061" s="70">
        <f>H1060/G1060-1</f>
        <v>0.89664650907091792</v>
      </c>
      <c r="I1061" s="70">
        <f>I1060/H1060-1</f>
        <v>6.4202898550724585E-2</v>
      </c>
      <c r="J1061" s="10">
        <f>J1060/I1060-1</f>
        <v>-0.11014253839455324</v>
      </c>
      <c r="K1061" s="10">
        <v>0.10580000000000001</v>
      </c>
      <c r="L1061" s="10">
        <f>AVERAGE(I1061:J1061)</f>
        <v>-2.2969819921914325E-2</v>
      </c>
      <c r="M1061" s="10">
        <v>0.2</v>
      </c>
      <c r="N1061" s="10">
        <f>AVERAGE(K1061:L1061)</f>
        <v>4.141509003904284E-2</v>
      </c>
      <c r="O1061" s="10"/>
    </row>
    <row r="1062" spans="2:33" x14ac:dyDescent="0.3">
      <c r="C1062" s="12" t="s">
        <v>248</v>
      </c>
      <c r="E1062">
        <v>12.7</v>
      </c>
      <c r="F1062">
        <v>18.899999999999999</v>
      </c>
      <c r="G1062">
        <v>21.5</v>
      </c>
    </row>
    <row r="1063" spans="2:33" x14ac:dyDescent="0.3">
      <c r="C1063" s="12"/>
      <c r="F1063" s="70">
        <f>F1062/E1062-1</f>
        <v>0.48818897637795278</v>
      </c>
      <c r="G1063" s="70">
        <f>G1062/F1062-1</f>
        <v>0.13756613756613767</v>
      </c>
    </row>
    <row r="1064" spans="2:33" x14ac:dyDescent="0.3">
      <c r="C1064" s="12" t="s">
        <v>249</v>
      </c>
      <c r="E1064">
        <v>63.5</v>
      </c>
      <c r="F1064">
        <v>72.3</v>
      </c>
      <c r="G1064">
        <v>67.900000000000006</v>
      </c>
    </row>
    <row r="1065" spans="2:33" x14ac:dyDescent="0.3">
      <c r="C1065" s="12"/>
      <c r="F1065" s="70">
        <f>F1064/E1064-1</f>
        <v>0.13858267716535422</v>
      </c>
      <c r="G1065" s="70">
        <f>G1064/F1064-1</f>
        <v>-6.0857538035961167E-2</v>
      </c>
      <c r="I1065" s="70"/>
      <c r="AD1065" s="10"/>
      <c r="AE1065" s="10"/>
      <c r="AF1065" s="10"/>
      <c r="AG1065" s="10"/>
    </row>
    <row r="1066" spans="2:33" x14ac:dyDescent="0.3">
      <c r="C1066" s="41" t="s">
        <v>242</v>
      </c>
      <c r="E1066" s="47">
        <f>E1062+E1064</f>
        <v>76.2</v>
      </c>
      <c r="F1066" s="47">
        <f>F1062+F1064</f>
        <v>91.199999999999989</v>
      </c>
      <c r="G1066" s="47">
        <f>G1062+G1064</f>
        <v>89.4</v>
      </c>
      <c r="H1066" s="47">
        <v>104.7</v>
      </c>
      <c r="I1066" s="47">
        <v>105.5</v>
      </c>
      <c r="J1066">
        <f>J1151-'HISTORICAL FS'!AH492</f>
        <v>106.58624461268184</v>
      </c>
      <c r="K1066">
        <f>J1066*(1+K1068)</f>
        <v>114.04728173556957</v>
      </c>
      <c r="L1066">
        <f>K1066*(1+L1068)</f>
        <v>117.29762926503329</v>
      </c>
      <c r="M1066">
        <f>L1066*(1+M1068)</f>
        <v>117.76681978209342</v>
      </c>
      <c r="N1066">
        <f>M1066*(1+N1068)</f>
        <v>121.79051945798162</v>
      </c>
      <c r="AC1066" s="2">
        <f>E1151-E1066</f>
        <v>0</v>
      </c>
      <c r="AD1066" s="2">
        <f>F1151-F1066</f>
        <v>-0.19999999999998863</v>
      </c>
      <c r="AE1066" s="2">
        <f>G1151-G1066</f>
        <v>-0.40000000000000568</v>
      </c>
      <c r="AF1066" s="2">
        <f>H1151-H1066</f>
        <v>0.29999999999999716</v>
      </c>
      <c r="AG1066" s="2">
        <f>I1151-I1066</f>
        <v>-1.5</v>
      </c>
    </row>
    <row r="1067" spans="2:33" x14ac:dyDescent="0.3">
      <c r="C1067" s="41"/>
      <c r="E1067" s="47"/>
      <c r="F1067" s="2"/>
      <c r="G1067" s="2"/>
      <c r="H1067" s="2"/>
      <c r="I1067" s="2"/>
    </row>
    <row r="1068" spans="2:33" x14ac:dyDescent="0.3">
      <c r="C1068" s="41"/>
      <c r="E1068" s="47"/>
      <c r="F1068" s="70">
        <f>F1066/E1066-1</f>
        <v>0.19685039370078727</v>
      </c>
      <c r="G1068" s="70">
        <f>G1066/F1066-1</f>
        <v>-1.9736842105262942E-2</v>
      </c>
      <c r="H1068" s="70">
        <f>H1066/G1066-1</f>
        <v>0.17114093959731536</v>
      </c>
      <c r="I1068" s="70">
        <f>I1066/H1066-1</f>
        <v>7.6408787010506796E-3</v>
      </c>
      <c r="J1068" s="71">
        <f>J1066/I1066-1</f>
        <v>1.0296157466178624E-2</v>
      </c>
      <c r="K1068" s="10">
        <v>7.0000000000000007E-2</v>
      </c>
      <c r="L1068" s="10">
        <v>2.8500000000000001E-2</v>
      </c>
      <c r="M1068" s="10">
        <v>4.0000000000000001E-3</v>
      </c>
      <c r="N1068" s="10">
        <f>AVERAGE(K1068:M1068)</f>
        <v>3.4166666666666672E-2</v>
      </c>
    </row>
    <row r="1069" spans="2:33" x14ac:dyDescent="0.3">
      <c r="E1069" s="47">
        <f t="shared" ref="E1069:N1069" si="5">E1051+E1054+E1057+E1060+E1066</f>
        <v>4625.8999999999996</v>
      </c>
      <c r="F1069" s="47">
        <f t="shared" si="5"/>
        <v>5033.9999999999991</v>
      </c>
      <c r="G1069" s="47">
        <f t="shared" si="5"/>
        <v>5491</v>
      </c>
      <c r="H1069" s="47">
        <f t="shared" si="5"/>
        <v>6118.0999999999995</v>
      </c>
      <c r="I1069" s="47">
        <f t="shared" si="5"/>
        <v>6901.3</v>
      </c>
      <c r="J1069" s="2">
        <f t="shared" si="5"/>
        <v>7071.938578669563</v>
      </c>
      <c r="K1069" s="2">
        <f t="shared" si="5"/>
        <v>7478.4985757356671</v>
      </c>
      <c r="L1069" s="2">
        <f t="shared" si="5"/>
        <v>8209.862897936855</v>
      </c>
      <c r="M1069" s="2">
        <f t="shared" si="5"/>
        <v>8764.1268346600336</v>
      </c>
      <c r="N1069" s="2">
        <f t="shared" si="5"/>
        <v>9357.0777379622214</v>
      </c>
    </row>
    <row r="1070" spans="2:33" x14ac:dyDescent="0.3">
      <c r="E1070" s="2"/>
      <c r="F1070" s="70">
        <f t="shared" ref="F1070:N1070" si="6">F1069/E1069-1</f>
        <v>8.8220670572212834E-2</v>
      </c>
      <c r="G1070" s="70">
        <f t="shared" si="6"/>
        <v>9.0782677791021227E-2</v>
      </c>
      <c r="H1070" s="70">
        <f t="shared" si="6"/>
        <v>0.11420506283008547</v>
      </c>
      <c r="I1070" s="70">
        <f t="shared" si="6"/>
        <v>0.12801359899315168</v>
      </c>
      <c r="J1070" s="70">
        <f t="shared" si="6"/>
        <v>2.4725570351899373E-2</v>
      </c>
      <c r="K1070" s="70">
        <f t="shared" si="6"/>
        <v>5.7489186669744896E-2</v>
      </c>
      <c r="L1070" s="70">
        <f t="shared" si="6"/>
        <v>9.7795608944037715E-2</v>
      </c>
      <c r="M1070" s="70">
        <f t="shared" si="6"/>
        <v>6.751196014034111E-2</v>
      </c>
      <c r="N1070" s="70">
        <f t="shared" si="6"/>
        <v>6.765658627362714E-2</v>
      </c>
    </row>
    <row r="1071" spans="2:33" x14ac:dyDescent="0.3">
      <c r="C1071" s="12" t="s">
        <v>7</v>
      </c>
      <c r="E1071">
        <f>E1069-'HISTORICAL FS'!E12</f>
        <v>0</v>
      </c>
      <c r="F1071">
        <f>F1069-'HISTORICAL FS'!F12</f>
        <v>0</v>
      </c>
      <c r="G1071">
        <f>G1069-'HISTORICAL FS'!G12</f>
        <v>0</v>
      </c>
      <c r="H1071">
        <f>H1069-'HISTORICAL FS'!H12</f>
        <v>0</v>
      </c>
      <c r="I1071">
        <f>I1069-'HISTORICAL FS'!I12</f>
        <v>0</v>
      </c>
    </row>
    <row r="1072" spans="2:33" x14ac:dyDescent="0.3">
      <c r="B1072" t="s">
        <v>422</v>
      </c>
      <c r="C1072" s="12" t="s">
        <v>421</v>
      </c>
      <c r="H1072" s="2"/>
      <c r="I1072" s="2">
        <f>I1069-E1069</f>
        <v>2275.4000000000005</v>
      </c>
      <c r="J1072">
        <f>N1069-J1069</f>
        <v>2285.1391592926584</v>
      </c>
      <c r="W1072">
        <f>J1158-J1069</f>
        <v>279.17999999999847</v>
      </c>
      <c r="AC1072">
        <f>F1158-E1069</f>
        <v>890.10000000000036</v>
      </c>
      <c r="AD1072">
        <f>G1158-F1069</f>
        <v>808.00000000000091</v>
      </c>
      <c r="AE1072">
        <f>H1158-G1069</f>
        <v>829</v>
      </c>
      <c r="AF1072">
        <f>I1158-H1069</f>
        <v>884.90000000000055</v>
      </c>
      <c r="AG1072">
        <f>J1158-I1069</f>
        <v>449.81857866956125</v>
      </c>
    </row>
    <row r="1073" spans="2:33" x14ac:dyDescent="0.3">
      <c r="C1073" s="41"/>
      <c r="AD1073">
        <f>AD1072/AC1072-1</f>
        <v>-9.2236827322772053E-2</v>
      </c>
      <c r="AE1073">
        <f>AE1072/AD1072-1</f>
        <v>2.5990099009899792E-2</v>
      </c>
      <c r="AF1073">
        <f>AF1072/AE1072-1</f>
        <v>6.7430639324487895E-2</v>
      </c>
      <c r="AG1073">
        <f>AG1072/AF1072-1</f>
        <v>-0.49167298150123073</v>
      </c>
    </row>
    <row r="1074" spans="2:33" x14ac:dyDescent="0.3">
      <c r="C1074" t="s">
        <v>803</v>
      </c>
      <c r="E1074" s="2">
        <f>E1156+E1148</f>
        <v>39.1</v>
      </c>
      <c r="F1074" s="2">
        <f>F1156+F1148</f>
        <v>279</v>
      </c>
      <c r="G1074" s="2">
        <f>G1156+G1148</f>
        <v>435</v>
      </c>
      <c r="H1074" s="2">
        <f>H1156+H1148</f>
        <v>596</v>
      </c>
      <c r="I1074" s="2">
        <f>I1156+I1148</f>
        <v>608</v>
      </c>
      <c r="J1074">
        <f>AVERAGE(E1074:I1074)</f>
        <v>391.41999999999996</v>
      </c>
    </row>
    <row r="1075" spans="2:33" x14ac:dyDescent="0.3">
      <c r="B1075" s="2" t="s">
        <v>273</v>
      </c>
      <c r="F1075" s="10">
        <f>F1074/E1074-1</f>
        <v>6.1355498721227617</v>
      </c>
      <c r="G1075" s="10">
        <f>G1074/F1074-1</f>
        <v>0.55913978494623651</v>
      </c>
      <c r="H1075" s="10">
        <f>H1074/G1074-1</f>
        <v>0.37011494252873556</v>
      </c>
      <c r="I1075" s="10">
        <f>I1074/H1074-1</f>
        <v>2.0134228187919545E-2</v>
      </c>
    </row>
    <row r="1076" spans="2:33" x14ac:dyDescent="0.3">
      <c r="C1076" s="2" t="s">
        <v>131</v>
      </c>
    </row>
    <row r="1077" spans="2:33" x14ac:dyDescent="0.3">
      <c r="B1077" s="2"/>
      <c r="C1077" s="12" t="s">
        <v>238</v>
      </c>
      <c r="H1077">
        <v>2540.4</v>
      </c>
      <c r="I1077">
        <v>2843.7</v>
      </c>
    </row>
    <row r="1078" spans="2:33" x14ac:dyDescent="0.3">
      <c r="B1078" s="2"/>
      <c r="C1078" s="12"/>
      <c r="I1078" s="70">
        <f>I1077/H1077-1</f>
        <v>0.11939064714218217</v>
      </c>
    </row>
    <row r="1079" spans="2:33" x14ac:dyDescent="0.3">
      <c r="C1079" s="12" t="s">
        <v>239</v>
      </c>
      <c r="H1079">
        <v>930.2</v>
      </c>
      <c r="I1079">
        <v>1323.2</v>
      </c>
    </row>
    <row r="1080" spans="2:33" x14ac:dyDescent="0.3">
      <c r="C1080" s="12"/>
      <c r="I1080" s="70">
        <f>I1079/H1079-1</f>
        <v>0.42248978714254992</v>
      </c>
    </row>
    <row r="1081" spans="2:33" x14ac:dyDescent="0.3">
      <c r="C1081" s="41" t="s">
        <v>244</v>
      </c>
      <c r="E1081" s="2">
        <v>3064.7</v>
      </c>
      <c r="F1081" s="2">
        <v>3006.6</v>
      </c>
      <c r="G1081" s="2">
        <v>3159.7</v>
      </c>
      <c r="H1081" s="2">
        <f>SUM(H1077+H1079)</f>
        <v>3470.6000000000004</v>
      </c>
      <c r="I1081" s="2">
        <f>SUM(I1077+I1079)</f>
        <v>4166.8999999999996</v>
      </c>
    </row>
    <row r="1082" spans="2:33" x14ac:dyDescent="0.3">
      <c r="C1082" s="41"/>
      <c r="E1082" s="2"/>
      <c r="F1082" s="70">
        <f>F1081/E1081-1</f>
        <v>-1.8957809899826983E-2</v>
      </c>
      <c r="G1082" s="70">
        <f>G1081/F1081-1</f>
        <v>5.0921306459123183E-2</v>
      </c>
      <c r="H1082" s="70">
        <f>H1081/G1081-1</f>
        <v>9.8395417286451403E-2</v>
      </c>
      <c r="I1082" s="70">
        <f>I1081/H1081-1</f>
        <v>0.20062813346395414</v>
      </c>
    </row>
    <row r="1083" spans="2:33" x14ac:dyDescent="0.3">
      <c r="C1083" s="12" t="s">
        <v>262</v>
      </c>
      <c r="F1083" s="2"/>
      <c r="I1083" s="2"/>
    </row>
    <row r="1084" spans="2:33" x14ac:dyDescent="0.3">
      <c r="C1084" s="41" t="s">
        <v>246</v>
      </c>
      <c r="E1084">
        <v>1432.4</v>
      </c>
      <c r="F1084">
        <v>1865.1</v>
      </c>
      <c r="G1084">
        <v>1864.9</v>
      </c>
      <c r="H1084">
        <v>1848.7</v>
      </c>
      <c r="I1084">
        <v>1919.3</v>
      </c>
    </row>
    <row r="1085" spans="2:33" x14ac:dyDescent="0.3">
      <c r="C1085" s="41"/>
      <c r="E1085" s="2"/>
      <c r="F1085" s="70">
        <f>F1084/E1084-1</f>
        <v>0.30208042446244043</v>
      </c>
      <c r="G1085" s="70">
        <f>G1084/F1084-1</f>
        <v>-1.0723285614699929E-4</v>
      </c>
      <c r="H1085" s="70">
        <f>H1084/G1084-1</f>
        <v>-8.6867928575259379E-3</v>
      </c>
      <c r="I1085" s="70">
        <f>I1084/H1084-1</f>
        <v>3.818899767404127E-2</v>
      </c>
    </row>
    <row r="1086" spans="2:33" x14ac:dyDescent="0.3">
      <c r="C1086" s="41" t="s">
        <v>385</v>
      </c>
      <c r="E1086">
        <v>249.4</v>
      </c>
      <c r="F1086">
        <v>274.39999999999998</v>
      </c>
      <c r="G1086">
        <v>292.7</v>
      </c>
      <c r="H1086">
        <v>300.3</v>
      </c>
      <c r="I1086">
        <v>305.10000000000002</v>
      </c>
    </row>
    <row r="1087" spans="2:33" x14ac:dyDescent="0.3">
      <c r="C1087" s="41"/>
      <c r="E1087" s="2"/>
      <c r="F1087" s="70">
        <f>F1086/E1086-1</f>
        <v>0.10024057738572556</v>
      </c>
      <c r="G1087" s="70">
        <f>G1086/F1086-1</f>
        <v>6.6690962099125395E-2</v>
      </c>
      <c r="H1087" s="70">
        <f>H1086/G1086-1</f>
        <v>2.5965152032798144E-2</v>
      </c>
      <c r="I1087" s="70">
        <f>I1086/H1086-1</f>
        <v>1.5984015984016109E-2</v>
      </c>
    </row>
    <row r="1088" spans="2:33" x14ac:dyDescent="0.3">
      <c r="C1088" s="41" t="s">
        <v>241</v>
      </c>
      <c r="E1088">
        <v>39.1</v>
      </c>
      <c r="F1088">
        <v>40.1</v>
      </c>
      <c r="G1088">
        <v>52.5</v>
      </c>
      <c r="H1088">
        <v>67</v>
      </c>
      <c r="I1088">
        <v>79.099999999999994</v>
      </c>
    </row>
    <row r="1089" spans="2:29" x14ac:dyDescent="0.3">
      <c r="C1089" s="41"/>
      <c r="E1089" s="2"/>
      <c r="F1089" s="70">
        <f>F1088/E1088-1</f>
        <v>2.5575447570332477E-2</v>
      </c>
      <c r="G1089" s="70">
        <f>G1088/F1088-1</f>
        <v>0.30922693266832924</v>
      </c>
      <c r="H1089" s="70">
        <f>H1088/G1088-1</f>
        <v>0.2761904761904761</v>
      </c>
      <c r="I1089" s="70">
        <f>I1088/H1088-1</f>
        <v>0.18059701492537306</v>
      </c>
    </row>
    <row r="1090" spans="2:29" x14ac:dyDescent="0.3">
      <c r="C1090" s="12" t="s">
        <v>248</v>
      </c>
      <c r="E1090">
        <v>12.7</v>
      </c>
      <c r="F1090">
        <v>18.899999999999999</v>
      </c>
    </row>
    <row r="1091" spans="2:29" x14ac:dyDescent="0.3">
      <c r="C1091" s="12" t="s">
        <v>249</v>
      </c>
      <c r="E1091">
        <v>63.5</v>
      </c>
      <c r="F1091">
        <v>72.3</v>
      </c>
    </row>
    <row r="1092" spans="2:29" x14ac:dyDescent="0.3">
      <c r="C1092" s="41" t="s">
        <v>242</v>
      </c>
      <c r="E1092" s="2">
        <f>SUM(E1090:E1091)</f>
        <v>76.2</v>
      </c>
      <c r="F1092" s="2">
        <f>SUM(F1090:F1091)</f>
        <v>91.199999999999989</v>
      </c>
      <c r="G1092" s="2">
        <v>89.4</v>
      </c>
      <c r="H1092" s="2">
        <v>104.7</v>
      </c>
      <c r="I1092" s="2">
        <v>105.5</v>
      </c>
    </row>
    <row r="1093" spans="2:29" x14ac:dyDescent="0.3">
      <c r="C1093" s="41"/>
      <c r="E1093" s="2"/>
      <c r="F1093" s="70">
        <f>F1092/E1092-1</f>
        <v>0.19685039370078727</v>
      </c>
      <c r="G1093" s="70">
        <f>G1092/F1092-1</f>
        <v>-1.9736842105262942E-2</v>
      </c>
      <c r="H1093" s="70">
        <f>H1092/G1092-1</f>
        <v>0.17114093959731536</v>
      </c>
      <c r="I1093" s="70">
        <f>I1092/H1092-1</f>
        <v>7.6408787010506796E-3</v>
      </c>
    </row>
    <row r="1094" spans="2:29" x14ac:dyDescent="0.3">
      <c r="C1094" s="2"/>
      <c r="E1094" s="47">
        <f>E1081+E1084+E1086+E1088+E1092</f>
        <v>4861.8</v>
      </c>
      <c r="F1094" s="47">
        <f>F1081+F1084+F1086+F1088+F1092</f>
        <v>5277.4</v>
      </c>
      <c r="G1094" s="47">
        <f>G1081+G1084+G1086+G1088+G1092</f>
        <v>5459.2</v>
      </c>
      <c r="H1094" s="47">
        <f>H1081+H1084+H1086+H1088+H1092</f>
        <v>5791.3</v>
      </c>
      <c r="I1094" s="47">
        <f>I1081+I1084+I1086+I1088+I1092</f>
        <v>6575.9000000000005</v>
      </c>
    </row>
    <row r="1095" spans="2:29" x14ac:dyDescent="0.3">
      <c r="C1095" s="2"/>
      <c r="E1095" s="2"/>
      <c r="F1095" s="70">
        <f>F1094/E1094-1</f>
        <v>8.5482743016989549E-2</v>
      </c>
      <c r="G1095" s="70">
        <f>G1094/F1094-1</f>
        <v>3.444878159699849E-2</v>
      </c>
      <c r="H1095" s="70">
        <f>H1094/G1094-1</f>
        <v>6.0833089097303672E-2</v>
      </c>
      <c r="I1095" s="70">
        <f>I1094/H1094-1</f>
        <v>0.13547908069000059</v>
      </c>
      <c r="AC1095" s="10"/>
    </row>
    <row r="1096" spans="2:29" x14ac:dyDescent="0.3">
      <c r="B1096" s="2"/>
      <c r="R1096" s="10"/>
    </row>
    <row r="1097" spans="2:29" x14ac:dyDescent="0.3">
      <c r="B1097" s="2" t="s">
        <v>274</v>
      </c>
    </row>
    <row r="1098" spans="2:29" x14ac:dyDescent="0.3">
      <c r="B1098" s="2"/>
      <c r="C1098" s="41" t="s">
        <v>241</v>
      </c>
      <c r="F1098">
        <v>35.6</v>
      </c>
      <c r="G1098">
        <v>308.5</v>
      </c>
      <c r="H1098">
        <v>623</v>
      </c>
      <c r="I1098">
        <v>655.20000000000005</v>
      </c>
    </row>
    <row r="1099" spans="2:29" x14ac:dyDescent="0.3">
      <c r="B1099" s="2"/>
      <c r="G1099" s="70">
        <f>G1098/F1098-1</f>
        <v>7.6657303370786511</v>
      </c>
      <c r="H1099" s="70">
        <f>H1098/G1098-1</f>
        <v>1.0194489465153973</v>
      </c>
      <c r="I1099" s="70">
        <f>I1098/H1098-1</f>
        <v>5.1685393258427137E-2</v>
      </c>
      <c r="R1099" s="10"/>
    </row>
    <row r="1100" spans="2:29" x14ac:dyDescent="0.3">
      <c r="B1100" s="2"/>
      <c r="C1100" s="2"/>
      <c r="F1100" s="2"/>
      <c r="I1100" s="2"/>
      <c r="L1100" s="2"/>
      <c r="O1100" s="2"/>
      <c r="R1100" s="2"/>
    </row>
    <row r="1101" spans="2:29" x14ac:dyDescent="0.3">
      <c r="B1101" s="2" t="s">
        <v>275</v>
      </c>
    </row>
    <row r="1102" spans="2:29" x14ac:dyDescent="0.3">
      <c r="B1102" s="2"/>
      <c r="C1102" s="12" t="s">
        <v>238</v>
      </c>
      <c r="H1102">
        <v>318.10000000000002</v>
      </c>
      <c r="I1102">
        <v>348.5</v>
      </c>
    </row>
    <row r="1103" spans="2:29" x14ac:dyDescent="0.3">
      <c r="B1103" s="2"/>
      <c r="C1103" s="12"/>
      <c r="I1103" s="70">
        <f>I1102/H1102-1</f>
        <v>9.5567431625275034E-2</v>
      </c>
    </row>
    <row r="1104" spans="2:29" x14ac:dyDescent="0.3">
      <c r="B1104" s="2"/>
      <c r="C1104" s="12" t="s">
        <v>239</v>
      </c>
      <c r="H1104">
        <v>43.4</v>
      </c>
      <c r="I1104">
        <v>62.2</v>
      </c>
    </row>
    <row r="1105" spans="2:9" x14ac:dyDescent="0.3">
      <c r="B1105" s="2"/>
      <c r="C1105" s="12"/>
      <c r="I1105" s="70">
        <f>I1104/H1104-1</f>
        <v>0.43317972350230427</v>
      </c>
    </row>
    <row r="1106" spans="2:9" x14ac:dyDescent="0.3">
      <c r="B1106" s="2"/>
      <c r="C1106" s="41" t="s">
        <v>244</v>
      </c>
      <c r="E1106" s="2">
        <v>273.7</v>
      </c>
      <c r="F1106" s="2">
        <v>329.2</v>
      </c>
      <c r="G1106" s="2">
        <v>334.6</v>
      </c>
      <c r="H1106" s="2">
        <f>H1102+H1104</f>
        <v>361.5</v>
      </c>
      <c r="I1106" s="2">
        <f>I1102+I1104</f>
        <v>410.7</v>
      </c>
    </row>
    <row r="1107" spans="2:9" x14ac:dyDescent="0.3">
      <c r="B1107" s="2"/>
      <c r="C1107" s="41"/>
      <c r="F1107" s="70">
        <f>F1106/E1106-1</f>
        <v>0.20277676287906465</v>
      </c>
      <c r="G1107" s="70">
        <f>G1106/F1106-1</f>
        <v>1.6403402187120442E-2</v>
      </c>
      <c r="H1107" s="70">
        <f>H1106/G1106-1</f>
        <v>8.0394500896592946E-2</v>
      </c>
      <c r="I1107" s="70">
        <f>I1106/H1106-1</f>
        <v>0.13609958506224062</v>
      </c>
    </row>
    <row r="1108" spans="2:9" x14ac:dyDescent="0.3">
      <c r="B1108" s="2"/>
      <c r="C1108" s="41" t="s">
        <v>246</v>
      </c>
      <c r="E1108">
        <v>7.2</v>
      </c>
      <c r="F1108">
        <v>17.100000000000001</v>
      </c>
      <c r="G1108">
        <v>22.5</v>
      </c>
      <c r="H1108">
        <v>32.4</v>
      </c>
      <c r="I1108">
        <v>37.1</v>
      </c>
    </row>
    <row r="1109" spans="2:9" x14ac:dyDescent="0.3">
      <c r="B1109" s="2"/>
      <c r="C1109" s="41"/>
      <c r="F1109" s="70">
        <f>F1108/E1108-1</f>
        <v>1.375</v>
      </c>
      <c r="G1109" s="70">
        <f>G1108/F1108-1</f>
        <v>0.3157894736842104</v>
      </c>
      <c r="H1109" s="70">
        <f>H1108/G1108-1</f>
        <v>0.43999999999999995</v>
      </c>
      <c r="I1109" s="70">
        <f>I1108/H1108-1</f>
        <v>0.14506172839506193</v>
      </c>
    </row>
    <row r="1110" spans="2:9" x14ac:dyDescent="0.3">
      <c r="B1110" s="2"/>
      <c r="C1110" s="41" t="s">
        <v>277</v>
      </c>
      <c r="E1110">
        <v>27.8</v>
      </c>
    </row>
    <row r="1111" spans="2:9" x14ac:dyDescent="0.3">
      <c r="B1111" s="2"/>
      <c r="C1111" t="s">
        <v>134</v>
      </c>
      <c r="E1111" s="47">
        <f>E1106+E1108+E1110</f>
        <v>308.7</v>
      </c>
      <c r="F1111" s="47">
        <f>F1106+F1108+F1110</f>
        <v>346.3</v>
      </c>
      <c r="G1111" s="47">
        <f>G1106+G1108+G1110</f>
        <v>357.1</v>
      </c>
      <c r="H1111" s="47">
        <f>H1106+H1108+H1110</f>
        <v>393.9</v>
      </c>
      <c r="I1111" s="47">
        <f>I1106+I1108+I1110</f>
        <v>447.8</v>
      </c>
    </row>
    <row r="1112" spans="2:9" x14ac:dyDescent="0.3">
      <c r="B1112" s="2"/>
      <c r="E1112" s="2"/>
      <c r="F1112" s="70">
        <f>F1111/E1111-1</f>
        <v>0.12180110139293832</v>
      </c>
      <c r="G1112" s="70">
        <f>G1111/F1111-1</f>
        <v>3.1186832226393291E-2</v>
      </c>
      <c r="H1112" s="70">
        <f>H1111/G1111-1</f>
        <v>0.10305236628395398</v>
      </c>
      <c r="I1112" s="70">
        <f>I1111/H1111-1</f>
        <v>0.13683676059913696</v>
      </c>
    </row>
    <row r="1113" spans="2:9" x14ac:dyDescent="0.3">
      <c r="B1113" s="2"/>
      <c r="C1113" s="2"/>
    </row>
    <row r="1114" spans="2:9" x14ac:dyDescent="0.3">
      <c r="B1114" s="2" t="s">
        <v>276</v>
      </c>
      <c r="C1114" s="2"/>
    </row>
    <row r="1115" spans="2:9" x14ac:dyDescent="0.3">
      <c r="B1115" s="2"/>
      <c r="C1115" s="41" t="s">
        <v>246</v>
      </c>
      <c r="E1115">
        <v>0.7</v>
      </c>
      <c r="F1115">
        <v>1.1000000000000001</v>
      </c>
      <c r="G1115">
        <v>1.3</v>
      </c>
      <c r="H1115">
        <v>4.9000000000000004</v>
      </c>
      <c r="I1115">
        <v>5.8</v>
      </c>
    </row>
    <row r="1116" spans="2:9" x14ac:dyDescent="0.3">
      <c r="B1116" s="2"/>
      <c r="C1116" s="41"/>
      <c r="F1116" s="70">
        <f>F1115/E1115-1</f>
        <v>0.57142857142857162</v>
      </c>
      <c r="G1116" s="70">
        <f>G1115/F1115-1</f>
        <v>0.18181818181818166</v>
      </c>
      <c r="H1116" s="70">
        <f>H1115/G1115-1</f>
        <v>2.7692307692307692</v>
      </c>
      <c r="I1116" s="70">
        <f>I1115/H1115-1</f>
        <v>0.18367346938775508</v>
      </c>
    </row>
    <row r="1117" spans="2:9" x14ac:dyDescent="0.3">
      <c r="C1117" s="12" t="s">
        <v>238</v>
      </c>
      <c r="H1117">
        <v>80.400000000000006</v>
      </c>
      <c r="I1117">
        <v>92.2</v>
      </c>
    </row>
    <row r="1118" spans="2:9" x14ac:dyDescent="0.3">
      <c r="C1118" s="12"/>
      <c r="I1118" s="70">
        <f>I1117/H1117-1</f>
        <v>0.1467661691542288</v>
      </c>
    </row>
    <row r="1119" spans="2:9" x14ac:dyDescent="0.3">
      <c r="C1119" s="12" t="s">
        <v>239</v>
      </c>
      <c r="H1119">
        <v>11.7</v>
      </c>
      <c r="I1119">
        <v>19.399999999999999</v>
      </c>
    </row>
    <row r="1120" spans="2:9" x14ac:dyDescent="0.3">
      <c r="C1120" s="12"/>
      <c r="I1120" s="70">
        <f>I1119/H1119-1</f>
        <v>0.658119658119658</v>
      </c>
    </row>
    <row r="1121" spans="3:26" x14ac:dyDescent="0.3">
      <c r="C1121" s="41" t="s">
        <v>244</v>
      </c>
      <c r="E1121">
        <v>72.099999999999994</v>
      </c>
      <c r="F1121">
        <v>66.2</v>
      </c>
      <c r="G1121">
        <v>76.3</v>
      </c>
      <c r="H1121" s="2">
        <f>H1117+H1119</f>
        <v>92.100000000000009</v>
      </c>
      <c r="I1121" s="2">
        <f>I1117+I1119</f>
        <v>111.6</v>
      </c>
    </row>
    <row r="1122" spans="3:26" x14ac:dyDescent="0.3">
      <c r="C1122" s="41"/>
      <c r="F1122" s="70">
        <f>F1121/E1121-1</f>
        <v>-8.1830790568654499E-2</v>
      </c>
      <c r="G1122" s="70">
        <f>G1121/F1121-1</f>
        <v>0.15256797583081561</v>
      </c>
      <c r="H1122" s="70">
        <f>H1121/G1121-1</f>
        <v>0.20707732634338161</v>
      </c>
      <c r="I1122" s="70">
        <f>I1121/H1121-1</f>
        <v>0.21172638436482072</v>
      </c>
    </row>
    <row r="1123" spans="3:26" x14ac:dyDescent="0.3">
      <c r="C1123" t="s">
        <v>240</v>
      </c>
      <c r="H1123">
        <v>0.7</v>
      </c>
      <c r="I1123">
        <v>0.6</v>
      </c>
    </row>
    <row r="1124" spans="3:26" x14ac:dyDescent="0.3">
      <c r="I1124" s="70">
        <f>I1123/H1123-1</f>
        <v>-0.14285714285714279</v>
      </c>
    </row>
    <row r="1125" spans="3:26" x14ac:dyDescent="0.3">
      <c r="C1125" s="2" t="s">
        <v>277</v>
      </c>
      <c r="F1125" s="2"/>
      <c r="G1125">
        <v>2.8</v>
      </c>
      <c r="I1125" s="2"/>
      <c r="L1125" s="2"/>
      <c r="O1125" s="2"/>
      <c r="R1125" s="2"/>
    </row>
    <row r="1126" spans="3:26" x14ac:dyDescent="0.3">
      <c r="C1126" s="2"/>
      <c r="F1126" s="2"/>
      <c r="I1126" s="2"/>
      <c r="L1126" s="2"/>
      <c r="O1126" s="2"/>
      <c r="R1126" s="2"/>
    </row>
    <row r="1127" spans="3:26" x14ac:dyDescent="0.3">
      <c r="C1127" s="2" t="s">
        <v>113</v>
      </c>
      <c r="E1127" s="47">
        <f>E1115+E1121+E1123+E1125</f>
        <v>72.8</v>
      </c>
      <c r="F1127" s="47">
        <f>F1115+F1121+F1123+F1125</f>
        <v>67.3</v>
      </c>
      <c r="G1127" s="47">
        <f>G1115+G1121+G1123+G1125</f>
        <v>80.399999999999991</v>
      </c>
      <c r="H1127" s="47">
        <f>H1115+H1121+H1123+H1125</f>
        <v>97.700000000000017</v>
      </c>
      <c r="I1127" s="47">
        <f>I1115+I1121+I1123+I1125</f>
        <v>117.99999999999999</v>
      </c>
    </row>
    <row r="1128" spans="3:26" x14ac:dyDescent="0.3">
      <c r="C1128" s="2"/>
      <c r="E1128" s="2"/>
      <c r="F1128" s="70">
        <f>F1127/E1127-1</f>
        <v>-7.5549450549450503E-2</v>
      </c>
      <c r="G1128" s="70">
        <f>G1127/F1127-1</f>
        <v>0.19465081723625555</v>
      </c>
      <c r="H1128" s="70">
        <f>H1127/G1127-1</f>
        <v>0.2151741293532341</v>
      </c>
      <c r="I1128" s="70">
        <f>I1127/H1127-1</f>
        <v>0.20777891504605894</v>
      </c>
    </row>
    <row r="1129" spans="3:26" ht="21" x14ac:dyDescent="0.4">
      <c r="C1129" s="54"/>
    </row>
    <row r="1130" spans="3:26" ht="21" x14ac:dyDescent="0.4">
      <c r="C1130" s="54" t="s">
        <v>800</v>
      </c>
      <c r="E1130" s="2">
        <f>E1127-E1111+E1098+E1094</f>
        <v>4625.9000000000005</v>
      </c>
      <c r="F1130" s="2">
        <f>F1127-F1111+F1098+F1094</f>
        <v>5034</v>
      </c>
      <c r="G1130" s="2">
        <f>G1127-G1111+G1098+G1094</f>
        <v>5491</v>
      </c>
      <c r="H1130" s="2">
        <f>H1127-H1111+H1098+H1094</f>
        <v>6118.1</v>
      </c>
      <c r="I1130" s="2">
        <f>I1127-I1111+I1098+I1094</f>
        <v>6901.3</v>
      </c>
    </row>
    <row r="1131" spans="3:26" ht="15.6" x14ac:dyDescent="0.3">
      <c r="C1131" s="67" t="s">
        <v>7</v>
      </c>
      <c r="E1131">
        <f>E1130-E1069</f>
        <v>0</v>
      </c>
      <c r="F1131">
        <f>F1130-F1069</f>
        <v>0</v>
      </c>
      <c r="G1131">
        <f>G1130-G1069</f>
        <v>0</v>
      </c>
      <c r="H1131">
        <f>H1130-H1069</f>
        <v>0</v>
      </c>
      <c r="I1131">
        <f>I1130-I1069</f>
        <v>0</v>
      </c>
    </row>
    <row r="1132" spans="3:26" ht="15.6" x14ac:dyDescent="0.3">
      <c r="C1132" s="67"/>
    </row>
    <row r="1133" spans="3:26" ht="23.4" x14ac:dyDescent="0.45">
      <c r="C1133" s="63" t="s">
        <v>654</v>
      </c>
      <c r="K1133">
        <v>2022</v>
      </c>
      <c r="L1133">
        <v>2023</v>
      </c>
      <c r="M1133">
        <v>2024</v>
      </c>
      <c r="N1133">
        <v>2025</v>
      </c>
      <c r="O1133">
        <v>2026</v>
      </c>
      <c r="P1133">
        <v>2027</v>
      </c>
    </row>
    <row r="1134" spans="3:26" x14ac:dyDescent="0.3">
      <c r="C1134" t="s">
        <v>594</v>
      </c>
      <c r="D1134" t="s">
        <v>796</v>
      </c>
      <c r="E1134">
        <v>1432.4</v>
      </c>
      <c r="F1134">
        <v>1865</v>
      </c>
      <c r="G1134">
        <v>1865</v>
      </c>
      <c r="H1134">
        <v>1849</v>
      </c>
      <c r="I1134">
        <v>1893</v>
      </c>
      <c r="J1134">
        <f>I1134*(1+-1.5%)</f>
        <v>1864.605</v>
      </c>
      <c r="Q1134">
        <f>E1134-E1054</f>
        <v>6.5</v>
      </c>
      <c r="R1134">
        <f>F1134-F1054</f>
        <v>15.900000000000091</v>
      </c>
      <c r="S1134">
        <f>G1134-G1054</f>
        <v>21.299999999999955</v>
      </c>
      <c r="T1134">
        <f>H1134-H1054</f>
        <v>27.799999999999955</v>
      </c>
      <c r="U1134">
        <f>I1134-I1054</f>
        <v>5</v>
      </c>
      <c r="V1134">
        <f>AVERAGE(Q1134:U1134)</f>
        <v>15.3</v>
      </c>
      <c r="W1134">
        <f>AVERAGE(R1134:V1134)</f>
        <v>17.059999999999999</v>
      </c>
      <c r="X1134">
        <f>AVERAGE(S1134:W1134)</f>
        <v>17.29199999999998</v>
      </c>
      <c r="Y1134">
        <f>AVERAGE(T1134:X1134)</f>
        <v>16.490399999999987</v>
      </c>
      <c r="Z1134">
        <f>AVERAGE(U1134:Y1134)</f>
        <v>14.228479999999994</v>
      </c>
    </row>
    <row r="1135" spans="3:26" x14ac:dyDescent="0.3">
      <c r="V1135">
        <f>I1134+V1134</f>
        <v>1908.3</v>
      </c>
    </row>
    <row r="1136" spans="3:26" x14ac:dyDescent="0.3">
      <c r="F1136" s="70">
        <f>F1134/E1134-1</f>
        <v>0.30201061156101638</v>
      </c>
      <c r="G1136" s="70">
        <f>G1134/F1134-1</f>
        <v>0</v>
      </c>
      <c r="H1136" s="70">
        <f>H1134/G1134-1</f>
        <v>-8.5790884718498495E-3</v>
      </c>
      <c r="I1136" s="70">
        <f>I1134/H1134-1</f>
        <v>2.3796646836127699E-2</v>
      </c>
      <c r="J1136" s="70">
        <f>J1134/I1134-1</f>
        <v>-1.5000000000000013E-2</v>
      </c>
      <c r="K1136">
        <v>-1.5000000000000013E-2</v>
      </c>
      <c r="L1136" s="70"/>
    </row>
    <row r="1137" spans="3:26" x14ac:dyDescent="0.3">
      <c r="C1137" t="s">
        <v>583</v>
      </c>
      <c r="D1137" t="s">
        <v>794</v>
      </c>
      <c r="E1137">
        <f>1526.7+865</f>
        <v>2391.6999999999998</v>
      </c>
      <c r="F1137">
        <f>1377+1005</f>
        <v>2382</v>
      </c>
      <c r="G1137">
        <v>2429</v>
      </c>
      <c r="H1137">
        <v>2540</v>
      </c>
      <c r="I1137">
        <v>2800</v>
      </c>
      <c r="J1137">
        <f>I1137*(1+4.6%)</f>
        <v>2928.8</v>
      </c>
      <c r="T1137">
        <f>H1137-H1077</f>
        <v>-0.40000000000009095</v>
      </c>
      <c r="U1137">
        <f>I1137-I1077</f>
        <v>-43.699999999999818</v>
      </c>
      <c r="V1137">
        <f>AVERAGE(T1137:U1137)</f>
        <v>-22.049999999999955</v>
      </c>
      <c r="W1137">
        <f>AVERAGE(U1137:V1137)</f>
        <v>-32.874999999999886</v>
      </c>
      <c r="X1137">
        <f>AVERAGE(V1137:W1137)</f>
        <v>-27.46249999999992</v>
      </c>
      <c r="Y1137">
        <f>AVERAGE(W1137:X1137)</f>
        <v>-30.168749999999903</v>
      </c>
      <c r="Z1137">
        <f>AVERAGE(X1137:Y1137)</f>
        <v>-28.815624999999912</v>
      </c>
    </row>
    <row r="1138" spans="3:26" x14ac:dyDescent="0.3">
      <c r="F1138" s="70">
        <f>F1137/E1137-1</f>
        <v>-4.0556926035872909E-3</v>
      </c>
      <c r="G1138" s="70">
        <f>G1137/F1137-1</f>
        <v>1.9731318219983196E-2</v>
      </c>
      <c r="H1138" s="70">
        <f>H1137/G1137-1</f>
        <v>4.5697818032111925E-2</v>
      </c>
      <c r="I1138" s="70">
        <f>I1137/H1137-1</f>
        <v>0.10236220472440949</v>
      </c>
      <c r="J1138" s="70">
        <f>J1137/I1137-1</f>
        <v>4.6000000000000041E-2</v>
      </c>
      <c r="K1138">
        <v>4.6000000000000041E-2</v>
      </c>
      <c r="L1138" s="70"/>
      <c r="M1138" s="70"/>
      <c r="N1138" s="70"/>
      <c r="O1138" s="70"/>
      <c r="P1138" s="70"/>
      <c r="V1138">
        <f>I1137+V1137</f>
        <v>2777.95</v>
      </c>
    </row>
    <row r="1139" spans="3:26" x14ac:dyDescent="0.3">
      <c r="C1139" s="2" t="s">
        <v>585</v>
      </c>
      <c r="E1139" s="46">
        <f t="shared" ref="E1139:J1139" si="7">E1137+E1134</f>
        <v>3824.1</v>
      </c>
      <c r="F1139" s="46">
        <f t="shared" si="7"/>
        <v>4247</v>
      </c>
      <c r="G1139" s="46">
        <f t="shared" si="7"/>
        <v>4294</v>
      </c>
      <c r="H1139" s="46">
        <f t="shared" si="7"/>
        <v>4389</v>
      </c>
      <c r="I1139" s="46">
        <f t="shared" si="7"/>
        <v>4693</v>
      </c>
      <c r="J1139" s="46">
        <f t="shared" si="7"/>
        <v>4793.4050000000007</v>
      </c>
    </row>
    <row r="1140" spans="3:26" x14ac:dyDescent="0.3">
      <c r="C1140" s="2"/>
      <c r="E1140" s="2"/>
      <c r="F1140" s="70">
        <f>F1139/E1139-1</f>
        <v>0.11058811223555876</v>
      </c>
      <c r="G1140" s="70">
        <f>G1139/F1139-1</f>
        <v>1.1066635271956615E-2</v>
      </c>
      <c r="H1140" s="70">
        <f>H1139/G1139-1</f>
        <v>2.2123893805309658E-2</v>
      </c>
      <c r="I1140" s="70">
        <f>I1139/H1139-1</f>
        <v>6.9264069264069361E-2</v>
      </c>
    </row>
    <row r="1141" spans="3:26" x14ac:dyDescent="0.3">
      <c r="C1141" t="s">
        <v>586</v>
      </c>
      <c r="D1141" t="s">
        <v>795</v>
      </c>
      <c r="E1141">
        <v>673</v>
      </c>
      <c r="F1141">
        <v>625</v>
      </c>
      <c r="G1141">
        <v>731</v>
      </c>
      <c r="H1141">
        <v>930</v>
      </c>
      <c r="I1141">
        <v>1297</v>
      </c>
      <c r="J1141">
        <f>I1141*(1+14.3%)</f>
        <v>1482.471</v>
      </c>
      <c r="T1141">
        <f>H1141-H1049</f>
        <v>31.5</v>
      </c>
      <c r="U1141">
        <f>I1141-I1049</f>
        <v>16.599999999999909</v>
      </c>
      <c r="V1141">
        <f>AVERAGE(T1141:U1141)</f>
        <v>24.049999999999955</v>
      </c>
      <c r="W1141">
        <f>AVERAGE(U1141:V1141)</f>
        <v>20.324999999999932</v>
      </c>
      <c r="X1141">
        <f>AVERAGE(V1141:W1141)</f>
        <v>22.187499999999943</v>
      </c>
      <c r="Y1141">
        <f>AVERAGE(W1141:X1141)</f>
        <v>21.256249999999937</v>
      </c>
      <c r="Z1141">
        <f>AVERAGE(X1141:Y1141)</f>
        <v>21.72187499999994</v>
      </c>
    </row>
    <row r="1142" spans="3:26" x14ac:dyDescent="0.3">
      <c r="F1142" s="70">
        <f>F1141/E1141-1</f>
        <v>-7.1322436849925674E-2</v>
      </c>
      <c r="G1142" s="70">
        <f>G1141/F1141-1</f>
        <v>0.16959999999999997</v>
      </c>
      <c r="H1142" s="70">
        <f>H1141/G1141-1</f>
        <v>0.27222982216142277</v>
      </c>
      <c r="I1142" s="70">
        <f>I1141/H1141-1</f>
        <v>0.39462365591397841</v>
      </c>
      <c r="J1142" s="70">
        <f>J1141/I1141-1</f>
        <v>0.14300000000000002</v>
      </c>
      <c r="K1142">
        <v>0.14300000000000002</v>
      </c>
      <c r="V1142">
        <f>I1141+V1141</f>
        <v>1321.05</v>
      </c>
    </row>
    <row r="1143" spans="3:26" x14ac:dyDescent="0.3">
      <c r="C1143" s="2" t="s">
        <v>587</v>
      </c>
      <c r="E1143" s="46">
        <f t="shared" ref="E1143:J1143" si="8">E1141+E1139</f>
        <v>4497.1000000000004</v>
      </c>
      <c r="F1143" s="46">
        <f t="shared" si="8"/>
        <v>4872</v>
      </c>
      <c r="G1143" s="46">
        <f t="shared" si="8"/>
        <v>5025</v>
      </c>
      <c r="H1143" s="46">
        <f t="shared" si="8"/>
        <v>5319</v>
      </c>
      <c r="I1143" s="46">
        <f t="shared" si="8"/>
        <v>5990</v>
      </c>
      <c r="J1143" s="46">
        <f t="shared" si="8"/>
        <v>6275.8760000000002</v>
      </c>
    </row>
    <row r="1144" spans="3:26" x14ac:dyDescent="0.3">
      <c r="C1144" s="2"/>
      <c r="E1144" s="2"/>
      <c r="F1144" s="70">
        <f>F1143/E1143-1</f>
        <v>8.3364835115963487E-2</v>
      </c>
      <c r="G1144" s="70">
        <f>G1143/F1143-1</f>
        <v>3.1403940886699511E-2</v>
      </c>
      <c r="H1144" s="70">
        <f>H1143/G1143-1</f>
        <v>5.8507462686567147E-2</v>
      </c>
      <c r="I1144" s="70">
        <f>I1143/H1143-1</f>
        <v>0.12615153224290276</v>
      </c>
    </row>
    <row r="1145" spans="3:26" x14ac:dyDescent="0.3">
      <c r="C1145" t="s">
        <v>588</v>
      </c>
      <c r="D1145" t="s">
        <v>796</v>
      </c>
      <c r="E1145">
        <v>249.4</v>
      </c>
      <c r="F1145">
        <v>274</v>
      </c>
      <c r="G1145">
        <v>293</v>
      </c>
      <c r="H1145">
        <v>300</v>
      </c>
      <c r="I1145">
        <v>301</v>
      </c>
      <c r="J1145">
        <f>I1145*(1+-0.6%)</f>
        <v>299.19400000000002</v>
      </c>
      <c r="K1145" s="10"/>
      <c r="R1145">
        <f>F1145-F1057</f>
        <v>-0.39999999999997726</v>
      </c>
      <c r="S1145">
        <f>G1145-G1057</f>
        <v>0.30000000000001137</v>
      </c>
      <c r="T1145">
        <f>H1145-H1057</f>
        <v>-1</v>
      </c>
      <c r="U1145">
        <f>I1145-I1057</f>
        <v>-4.6999999999999886</v>
      </c>
      <c r="V1145">
        <f>AVERAGE(Q1145:U1145)</f>
        <v>-1.4499999999999886</v>
      </c>
      <c r="W1145">
        <f>AVERAGE(R1145:V1145)</f>
        <v>-1.4499999999999886</v>
      </c>
      <c r="X1145">
        <f>AVERAGE(S1145:W1145)</f>
        <v>-1.6599999999999908</v>
      </c>
      <c r="Y1145">
        <f>AVERAGE(T1145:X1145)</f>
        <v>-2.0519999999999916</v>
      </c>
      <c r="Z1145">
        <f>AVERAGE(U1145:Y1145)</f>
        <v>-2.2623999999999898</v>
      </c>
    </row>
    <row r="1146" spans="3:26" x14ac:dyDescent="0.3">
      <c r="V1146">
        <f>I1145+V1145</f>
        <v>299.55</v>
      </c>
    </row>
    <row r="1147" spans="3:26" x14ac:dyDescent="0.3">
      <c r="F1147" s="70">
        <f>F1145/E1145-1</f>
        <v>9.8636728147554198E-2</v>
      </c>
      <c r="G1147" s="70">
        <f>G1145/F1145-1</f>
        <v>6.9343065693430628E-2</v>
      </c>
      <c r="H1147" s="70">
        <f>H1145/G1145-1</f>
        <v>2.3890784982935065E-2</v>
      </c>
      <c r="I1147" s="70">
        <f>I1145/H1145-1</f>
        <v>3.3333333333334103E-3</v>
      </c>
      <c r="J1147" s="70">
        <f>J1145/I1145-1</f>
        <v>-5.9999999999998943E-3</v>
      </c>
      <c r="K1147">
        <v>-5.9999999999998943E-3</v>
      </c>
    </row>
    <row r="1148" spans="3:26" x14ac:dyDescent="0.3">
      <c r="C1148" s="12" t="s">
        <v>241</v>
      </c>
      <c r="D1148" t="s">
        <v>797</v>
      </c>
      <c r="E1148">
        <v>39.1</v>
      </c>
      <c r="F1148">
        <v>40</v>
      </c>
      <c r="G1148">
        <v>52</v>
      </c>
      <c r="H1148">
        <v>67</v>
      </c>
      <c r="I1148">
        <v>78</v>
      </c>
      <c r="J1148">
        <f>I1148*(1+J1150)</f>
        <v>81.781335410543193</v>
      </c>
      <c r="R1148">
        <f>F1148-F1060</f>
        <v>-35.700000000000003</v>
      </c>
      <c r="S1148">
        <f>G1148-G1060</f>
        <v>-311.8</v>
      </c>
      <c r="T1148">
        <f>H1148-H1060</f>
        <v>-623</v>
      </c>
      <c r="U1148">
        <f>I1148-I1060</f>
        <v>-656.3</v>
      </c>
      <c r="V1148">
        <f>AVERAGE(Q1148:U1148)</f>
        <v>-406.7</v>
      </c>
      <c r="W1148">
        <f>AVERAGE(R1148:V1148)</f>
        <v>-406.7</v>
      </c>
      <c r="X1148">
        <f>AVERAGE(S1148:W1148)</f>
        <v>-480.9</v>
      </c>
      <c r="Y1148">
        <f>AVERAGE(T1148:X1148)</f>
        <v>-514.72</v>
      </c>
      <c r="Z1148">
        <f>AVERAGE(U1148:Y1148)</f>
        <v>-493.06399999999996</v>
      </c>
    </row>
    <row r="1149" spans="3:26" x14ac:dyDescent="0.3">
      <c r="C1149" s="12"/>
    </row>
    <row r="1150" spans="3:26" x14ac:dyDescent="0.3">
      <c r="C1150" s="12"/>
      <c r="F1150" s="70">
        <f>F1148/E1148-1</f>
        <v>2.3017902813299296E-2</v>
      </c>
      <c r="G1150" s="70">
        <f>G1148/F1148-1</f>
        <v>0.30000000000000004</v>
      </c>
      <c r="H1150" s="70">
        <f>H1148/G1148-1</f>
        <v>0.28846153846153855</v>
      </c>
      <c r="I1150" s="70">
        <f>I1148/H1148-1</f>
        <v>0.16417910447761197</v>
      </c>
      <c r="J1150" s="10">
        <f>SUM(F1150:I1150)/16</f>
        <v>4.8478659109528116E-2</v>
      </c>
      <c r="K1150">
        <v>4.8478659109528116E-2</v>
      </c>
    </row>
    <row r="1151" spans="3:26" x14ac:dyDescent="0.3">
      <c r="C1151" s="41" t="s">
        <v>242</v>
      </c>
      <c r="D1151" t="s">
        <v>798</v>
      </c>
      <c r="E1151">
        <v>76.2</v>
      </c>
      <c r="F1151">
        <v>91</v>
      </c>
      <c r="G1151">
        <v>89</v>
      </c>
      <c r="H1151">
        <v>105</v>
      </c>
      <c r="I1151">
        <v>104</v>
      </c>
      <c r="J1151">
        <f>I1151*(1+J1153)</f>
        <v>106.22624461268184</v>
      </c>
      <c r="R1151">
        <f>F1151-F1066</f>
        <v>-0.19999999999998863</v>
      </c>
      <c r="S1151">
        <f>G1151-G1066</f>
        <v>-0.40000000000000568</v>
      </c>
      <c r="T1151">
        <f>H1151-H1066</f>
        <v>0.29999999999999716</v>
      </c>
      <c r="U1151">
        <f>I1151-I1066</f>
        <v>-1.5</v>
      </c>
      <c r="V1151">
        <f>AVERAGE(Q1151:U1151)</f>
        <v>-0.44999999999999929</v>
      </c>
      <c r="W1151">
        <f>AVERAGE(R1151:V1151)</f>
        <v>-0.44999999999999929</v>
      </c>
      <c r="X1151">
        <f>AVERAGE(S1151:W1151)</f>
        <v>-0.50000000000000144</v>
      </c>
      <c r="Y1151">
        <f>AVERAGE(T1151:X1151)</f>
        <v>-0.52000000000000057</v>
      </c>
      <c r="Z1151">
        <f>AVERAGE(U1151:Y1151)</f>
        <v>-0.68400000000000005</v>
      </c>
    </row>
    <row r="1152" spans="3:26" x14ac:dyDescent="0.3">
      <c r="C1152" s="41"/>
    </row>
    <row r="1153" spans="3:26" x14ac:dyDescent="0.3">
      <c r="C1153" s="41"/>
      <c r="F1153" s="70">
        <f>F1151/E1151-1</f>
        <v>0.19422572178477693</v>
      </c>
      <c r="G1153" s="70">
        <f>G1151/F1151-1</f>
        <v>-2.1978021978022011E-2</v>
      </c>
      <c r="H1153" s="70">
        <f>H1151/G1151-1</f>
        <v>0.1797752808988764</v>
      </c>
      <c r="I1153" s="70">
        <f>I1151/H1151-1</f>
        <v>-9.52380952380949E-3</v>
      </c>
      <c r="J1153" s="10">
        <f>SUM(F1153:I1153)/16</f>
        <v>2.1406198198863864E-2</v>
      </c>
      <c r="K1153">
        <v>2.1406198198863864E-2</v>
      </c>
      <c r="W1153" s="10"/>
      <c r="Y1153" s="10"/>
    </row>
    <row r="1154" spans="3:26" ht="15.6" x14ac:dyDescent="0.3">
      <c r="C1154" s="67" t="s">
        <v>273</v>
      </c>
      <c r="E1154" s="46">
        <f t="shared" ref="E1154:J1154" si="9">E1151+E1148+E1145+E1143</f>
        <v>4861.8</v>
      </c>
      <c r="F1154" s="46">
        <f t="shared" si="9"/>
        <v>5277</v>
      </c>
      <c r="G1154" s="46">
        <f t="shared" si="9"/>
        <v>5459</v>
      </c>
      <c r="H1154" s="46">
        <f t="shared" si="9"/>
        <v>5791</v>
      </c>
      <c r="I1154" s="46">
        <f t="shared" si="9"/>
        <v>6473</v>
      </c>
      <c r="J1154" s="46">
        <f t="shared" si="9"/>
        <v>6763.077580023225</v>
      </c>
      <c r="Q1154" s="2">
        <f>E1154-E1069</f>
        <v>235.90000000000055</v>
      </c>
      <c r="R1154" s="2">
        <f>F1154-F1069</f>
        <v>243.00000000000091</v>
      </c>
      <c r="S1154" s="2">
        <f>G1154-G1069</f>
        <v>-32</v>
      </c>
      <c r="T1154" s="2">
        <f>H1154-H1069</f>
        <v>-327.09999999999945</v>
      </c>
      <c r="U1154" s="2">
        <f>I1154-I1069</f>
        <v>-428.30000000000018</v>
      </c>
      <c r="V1154" s="2" t="e">
        <f>J1154-#REF!</f>
        <v>#REF!</v>
      </c>
      <c r="W1154" s="2">
        <f>Q1154-AC1066</f>
        <v>235.90000000000055</v>
      </c>
      <c r="X1154" s="2">
        <f>R1154-AD1066</f>
        <v>243.2000000000009</v>
      </c>
      <c r="Y1154" s="2">
        <f>S1154-AE1066</f>
        <v>-31.599999999999994</v>
      </c>
      <c r="Z1154" s="2">
        <f>T1154-AF1066</f>
        <v>-327.39999999999947</v>
      </c>
    </row>
    <row r="1155" spans="3:26" ht="15.6" x14ac:dyDescent="0.3">
      <c r="C1155" s="67"/>
      <c r="E1155" s="2"/>
      <c r="F1155" s="70">
        <f>F1154/E1154-1</f>
        <v>8.5400468962112841E-2</v>
      </c>
      <c r="G1155" s="70">
        <f>G1154/F1154-1</f>
        <v>3.4489293158991741E-2</v>
      </c>
      <c r="H1155" s="70">
        <f>H1154/G1154-1</f>
        <v>6.0816999450448828E-2</v>
      </c>
      <c r="I1155" s="70">
        <f>I1154/H1154-1</f>
        <v>0.11776895182179237</v>
      </c>
      <c r="J1155" s="70">
        <f>J1154/I1154-1</f>
        <v>4.4813468256330147E-2</v>
      </c>
      <c r="K1155" s="70">
        <v>4.4813468256330147E-2</v>
      </c>
    </row>
    <row r="1156" spans="3:26" ht="15.6" x14ac:dyDescent="0.3">
      <c r="C1156" s="67" t="s">
        <v>655</v>
      </c>
      <c r="D1156" t="s">
        <v>799</v>
      </c>
      <c r="F1156">
        <v>239</v>
      </c>
      <c r="G1156">
        <v>383</v>
      </c>
      <c r="H1156">
        <v>529</v>
      </c>
      <c r="I1156">
        <v>530</v>
      </c>
      <c r="J1156">
        <f>I1156*(1+J1157)</f>
        <v>588.04099864633633</v>
      </c>
    </row>
    <row r="1157" spans="3:26" ht="15.6" x14ac:dyDescent="0.3">
      <c r="C1157" s="67"/>
      <c r="G1157" s="70">
        <f>G1156/F1156-1</f>
        <v>0.60251046025104604</v>
      </c>
      <c r="H1157" s="70">
        <f>H1156/G1156-1</f>
        <v>0.38120104438642288</v>
      </c>
      <c r="I1157" s="70">
        <f>I1156/H1156-1</f>
        <v>1.890359168241984E-3</v>
      </c>
      <c r="J1157" s="10">
        <f>SUM(G1157:I1157)/9</f>
        <v>0.10951131820063455</v>
      </c>
      <c r="K1157">
        <v>0.10951131820063455</v>
      </c>
      <c r="L1157" s="10"/>
      <c r="M1157" s="10"/>
      <c r="N1157" s="10"/>
      <c r="O1157" s="10"/>
      <c r="Q1157" s="10"/>
    </row>
    <row r="1158" spans="3:26" ht="15.6" x14ac:dyDescent="0.3">
      <c r="C1158" s="39" t="s">
        <v>421</v>
      </c>
      <c r="E1158" s="47">
        <f t="shared" ref="E1158:J1158" si="10">E1156+E1154</f>
        <v>4861.8</v>
      </c>
      <c r="F1158" s="47">
        <f t="shared" si="10"/>
        <v>5516</v>
      </c>
      <c r="G1158" s="47">
        <f t="shared" si="10"/>
        <v>5842</v>
      </c>
      <c r="H1158" s="47">
        <f t="shared" si="10"/>
        <v>6320</v>
      </c>
      <c r="I1158" s="47">
        <f t="shared" si="10"/>
        <v>7003</v>
      </c>
      <c r="J1158" s="47">
        <f t="shared" si="10"/>
        <v>7351.1185786695614</v>
      </c>
    </row>
    <row r="1159" spans="3:26" ht="21" x14ac:dyDescent="0.4">
      <c r="C1159" s="54"/>
      <c r="E1159" s="2"/>
      <c r="F1159" s="70">
        <f>F1158/E1158-1</f>
        <v>0.13455921675099747</v>
      </c>
      <c r="G1159" s="70">
        <f>G1158/F1158-1</f>
        <v>5.9100797679477957E-2</v>
      </c>
      <c r="H1159" s="70">
        <f>H1158/G1158-1</f>
        <v>8.1821294077370821E-2</v>
      </c>
      <c r="I1159" s="70">
        <f>I1158/H1158-1</f>
        <v>0.10806962025316458</v>
      </c>
      <c r="J1159" s="70">
        <f>J1158/I1158-1</f>
        <v>4.9709921272249158E-2</v>
      </c>
    </row>
    <row r="1160" spans="3:26" ht="21" x14ac:dyDescent="0.4">
      <c r="C1160" s="54"/>
      <c r="E1160" s="2"/>
      <c r="F1160" s="2"/>
      <c r="G1160" s="2"/>
      <c r="H1160" s="2"/>
      <c r="I1160" s="2"/>
    </row>
    <row r="1161" spans="3:26" ht="21" x14ac:dyDescent="0.4">
      <c r="C1161" s="54" t="s">
        <v>802</v>
      </c>
      <c r="E1161" s="2"/>
      <c r="F1161" s="2"/>
      <c r="G1161" s="2"/>
      <c r="H1161" s="2"/>
      <c r="I1161" s="2"/>
      <c r="J1161">
        <f>J1148+J1156</f>
        <v>669.82233405687953</v>
      </c>
    </row>
    <row r="1162" spans="3:26" ht="23.4" x14ac:dyDescent="0.45">
      <c r="C1162" s="63" t="s">
        <v>386</v>
      </c>
      <c r="E1162" s="2"/>
      <c r="F1162" s="2"/>
      <c r="G1162" s="2"/>
      <c r="H1162" s="2"/>
      <c r="I1162" s="2"/>
    </row>
    <row r="1163" spans="3:26" ht="21" x14ac:dyDescent="0.4">
      <c r="C1163" s="54" t="str">
        <f>C1076</f>
        <v>SEGMENT</v>
      </c>
      <c r="E1163" s="2"/>
      <c r="F1163" s="2"/>
      <c r="G1163" s="2"/>
      <c r="H1163" s="2"/>
      <c r="I1163" s="2"/>
    </row>
    <row r="1164" spans="3:26" x14ac:dyDescent="0.3">
      <c r="C1164" t="str">
        <f>C1077</f>
        <v>Online UK</v>
      </c>
      <c r="E1164" s="2"/>
      <c r="F1164" s="2"/>
      <c r="G1164" s="2"/>
      <c r="H1164">
        <v>2266</v>
      </c>
      <c r="I1164">
        <v>2463</v>
      </c>
    </row>
    <row r="1165" spans="3:26" x14ac:dyDescent="0.3">
      <c r="E1165" s="2"/>
      <c r="F1165" s="2"/>
      <c r="G1165" s="2"/>
    </row>
    <row r="1166" spans="3:26" x14ac:dyDescent="0.3">
      <c r="C1166" t="str">
        <f>C1079</f>
        <v>Online (International)</v>
      </c>
      <c r="E1166" s="2"/>
      <c r="F1166" s="2"/>
      <c r="G1166" s="2"/>
      <c r="H1166">
        <v>860</v>
      </c>
      <c r="I1166">
        <v>1158</v>
      </c>
    </row>
    <row r="1167" spans="3:26" x14ac:dyDescent="0.3">
      <c r="E1167" s="2"/>
      <c r="F1167" s="2"/>
      <c r="G1167" s="2"/>
      <c r="H1167" s="2"/>
      <c r="I1167" s="2"/>
    </row>
    <row r="1168" spans="3:26" x14ac:dyDescent="0.3">
      <c r="C1168" t="str">
        <f>C1081</f>
        <v>Next Online</v>
      </c>
      <c r="E1168" s="2"/>
      <c r="F1168" s="2"/>
      <c r="G1168" s="2"/>
      <c r="H1168" s="46">
        <f>H1164+H1166</f>
        <v>3126</v>
      </c>
      <c r="I1168" s="46">
        <f>I1164+I1166</f>
        <v>3621</v>
      </c>
    </row>
    <row r="1169" spans="3:9" x14ac:dyDescent="0.3">
      <c r="E1169" s="2"/>
      <c r="F1169" s="2"/>
      <c r="G1169" s="2"/>
      <c r="H1169" s="2"/>
      <c r="I1169" s="2"/>
    </row>
    <row r="1170" spans="3:9" x14ac:dyDescent="0.3">
      <c r="C1170" t="str">
        <f>C1083</f>
        <v>Retail stores</v>
      </c>
      <c r="E1170" s="2"/>
      <c r="F1170" s="2"/>
      <c r="G1170" s="2"/>
      <c r="H1170">
        <v>1634</v>
      </c>
      <c r="I1170">
        <v>1691</v>
      </c>
    </row>
    <row r="1171" spans="3:9" x14ac:dyDescent="0.3">
      <c r="E1171" s="2"/>
      <c r="F1171" s="2"/>
      <c r="G1171" s="2"/>
    </row>
    <row r="1172" spans="3:9" x14ac:dyDescent="0.3">
      <c r="C1172" t="str">
        <f>C1086</f>
        <v>Next Finance/credit account interest/interest income</v>
      </c>
      <c r="E1172" s="2"/>
      <c r="F1172" s="2"/>
      <c r="G1172" s="2"/>
      <c r="H1172">
        <f>H1086</f>
        <v>300.3</v>
      </c>
      <c r="I1172">
        <f>I1086</f>
        <v>305.10000000000002</v>
      </c>
    </row>
    <row r="1173" spans="3:9" x14ac:dyDescent="0.3">
      <c r="C1173" t="s">
        <v>113</v>
      </c>
      <c r="E1173" s="2"/>
      <c r="F1173" s="2"/>
      <c r="G1173" s="2"/>
      <c r="H1173" s="47">
        <f>SUM(H1168:H1172)</f>
        <v>5060.3</v>
      </c>
      <c r="I1173" s="47">
        <f>SUM(I1168:I1172)</f>
        <v>5617.1</v>
      </c>
    </row>
    <row r="1174" spans="3:9" x14ac:dyDescent="0.3">
      <c r="E1174" s="2"/>
      <c r="F1174" s="2"/>
      <c r="G1174" s="2"/>
      <c r="H1174" s="2"/>
      <c r="I1174" s="2"/>
    </row>
    <row r="1175" spans="3:9" x14ac:dyDescent="0.3">
      <c r="E1175" s="2"/>
      <c r="F1175" s="2"/>
      <c r="G1175" s="2"/>
      <c r="H1175" s="2"/>
      <c r="I1175" s="2"/>
    </row>
    <row r="1176" spans="3:9" x14ac:dyDescent="0.3">
      <c r="E1176" s="2"/>
      <c r="F1176" s="2"/>
      <c r="G1176" s="2"/>
      <c r="H1176" s="2"/>
      <c r="I1176" s="2"/>
    </row>
    <row r="1177" spans="3:9" x14ac:dyDescent="0.3">
      <c r="C1177" t="s">
        <v>130</v>
      </c>
      <c r="E1177" s="2"/>
      <c r="F1177" s="2"/>
      <c r="G1177" s="2"/>
      <c r="H1177" s="2">
        <v>5.0999999999999996</v>
      </c>
      <c r="I1177" s="2">
        <v>5.6</v>
      </c>
    </row>
    <row r="1178" spans="3:9" x14ac:dyDescent="0.3">
      <c r="C1178" t="str">
        <f>C1088</f>
        <v>Total Platform</v>
      </c>
      <c r="E1178" s="2"/>
      <c r="F1178" s="2"/>
      <c r="G1178" s="2"/>
      <c r="H1178" s="2"/>
      <c r="I1178" s="2"/>
    </row>
    <row r="1179" spans="3:9" x14ac:dyDescent="0.3">
      <c r="C1179" t="str">
        <f>C1090</f>
        <v>Property Management</v>
      </c>
      <c r="E1179" s="2"/>
      <c r="F1179" s="2"/>
      <c r="G1179" s="2"/>
      <c r="H1179" s="2"/>
      <c r="I1179" s="2"/>
    </row>
    <row r="1180" spans="3:9" x14ac:dyDescent="0.3">
      <c r="C1180" t="str">
        <f>C1091</f>
        <v>Franchise, Sourcing and other</v>
      </c>
      <c r="E1180" s="2"/>
      <c r="F1180" s="2"/>
      <c r="G1180" s="2"/>
      <c r="H1180" s="2"/>
      <c r="I1180" s="2"/>
    </row>
    <row r="1181" spans="3:9" x14ac:dyDescent="0.3">
      <c r="C1181" t="str">
        <f>C1092</f>
        <v>Other business Activities</v>
      </c>
      <c r="E1181" s="2"/>
      <c r="F1181" s="2"/>
      <c r="G1181" s="2"/>
      <c r="H1181" s="2"/>
      <c r="I1181" s="2"/>
    </row>
    <row r="1182" spans="3:9" ht="21" x14ac:dyDescent="0.4">
      <c r="C1182" s="54"/>
      <c r="E1182" s="2"/>
      <c r="F1182" s="2"/>
      <c r="G1182" s="2"/>
      <c r="H1182" s="2"/>
      <c r="I1182" s="2"/>
    </row>
    <row r="1183" spans="3:9" ht="21" x14ac:dyDescent="0.4">
      <c r="C1183" s="54" t="s">
        <v>392</v>
      </c>
      <c r="E1183" s="2"/>
      <c r="F1183" s="2"/>
      <c r="G1183" s="2"/>
      <c r="H1183" s="2"/>
      <c r="I1183" s="2"/>
    </row>
    <row r="1184" spans="3:9" x14ac:dyDescent="0.3">
      <c r="C1184" t="s">
        <v>387</v>
      </c>
      <c r="E1184" s="2"/>
      <c r="F1184" s="2"/>
      <c r="G1184" s="2"/>
      <c r="H1184">
        <v>1304</v>
      </c>
      <c r="I1184">
        <v>1385</v>
      </c>
    </row>
    <row r="1185" spans="3:9" x14ac:dyDescent="0.3">
      <c r="C1185" t="s">
        <v>388</v>
      </c>
      <c r="E1185" s="2"/>
      <c r="F1185" s="2"/>
      <c r="G1185" s="2"/>
      <c r="H1185">
        <v>179</v>
      </c>
      <c r="I1185">
        <v>226</v>
      </c>
    </row>
    <row r="1186" spans="3:9" x14ac:dyDescent="0.3">
      <c r="C1186" t="s">
        <v>389</v>
      </c>
      <c r="E1186" s="2"/>
      <c r="F1186" s="2"/>
      <c r="G1186" s="2"/>
      <c r="H1186">
        <v>783</v>
      </c>
      <c r="I1186">
        <v>852</v>
      </c>
    </row>
    <row r="1187" spans="3:9" x14ac:dyDescent="0.3">
      <c r="C1187" t="s">
        <v>394</v>
      </c>
      <c r="E1187" s="47"/>
      <c r="F1187" s="47"/>
      <c r="G1187" s="47"/>
      <c r="H1187" s="47"/>
      <c r="I1187" s="47">
        <f>SUM(I1184:I1186)</f>
        <v>2463</v>
      </c>
    </row>
    <row r="1189" spans="3:9" x14ac:dyDescent="0.3">
      <c r="C1189" s="2" t="s">
        <v>390</v>
      </c>
      <c r="E1189" s="2"/>
      <c r="F1189" s="2"/>
      <c r="G1189" s="2"/>
      <c r="H1189" s="2">
        <v>962</v>
      </c>
      <c r="I1189" s="2">
        <f>I1185+I1186</f>
        <v>1078</v>
      </c>
    </row>
    <row r="1190" spans="3:9" x14ac:dyDescent="0.3">
      <c r="C1190" s="2"/>
      <c r="E1190" s="2"/>
      <c r="F1190" s="2"/>
      <c r="G1190" s="2"/>
      <c r="H1190" s="2"/>
    </row>
    <row r="1191" spans="3:9" x14ac:dyDescent="0.3">
      <c r="C1191" s="2" t="s">
        <v>413</v>
      </c>
      <c r="E1191" s="2"/>
      <c r="F1191" s="2"/>
      <c r="G1191" s="2"/>
      <c r="H1191" s="2"/>
    </row>
    <row r="1192" spans="3:9" x14ac:dyDescent="0.3">
      <c r="C1192" s="2" t="s">
        <v>387</v>
      </c>
      <c r="E1192" s="2"/>
      <c r="F1192" s="2"/>
      <c r="G1192" s="2"/>
      <c r="H1192" s="2"/>
      <c r="I1192">
        <v>1566</v>
      </c>
    </row>
    <row r="1193" spans="3:9" x14ac:dyDescent="0.3">
      <c r="C1193" t="s">
        <v>388</v>
      </c>
      <c r="E1193" s="2"/>
      <c r="F1193" s="2"/>
      <c r="G1193" s="2"/>
      <c r="H1193" s="2"/>
      <c r="I1193">
        <v>269</v>
      </c>
    </row>
    <row r="1194" spans="3:9" x14ac:dyDescent="0.3">
      <c r="C1194" t="s">
        <v>389</v>
      </c>
      <c r="E1194" s="2"/>
      <c r="F1194" s="2"/>
      <c r="G1194" s="2"/>
      <c r="H1194" s="2"/>
      <c r="I1194">
        <v>965</v>
      </c>
    </row>
    <row r="1195" spans="3:9" x14ac:dyDescent="0.3">
      <c r="C1195" s="2" t="s">
        <v>390</v>
      </c>
      <c r="E1195" s="2"/>
      <c r="F1195" s="2"/>
      <c r="G1195" s="2"/>
      <c r="H1195" s="2"/>
      <c r="I1195" s="2">
        <f>I1193+I1194</f>
        <v>1234</v>
      </c>
    </row>
    <row r="1196" spans="3:9" x14ac:dyDescent="0.3">
      <c r="C1196" s="2" t="s">
        <v>391</v>
      </c>
      <c r="E1196" s="2"/>
      <c r="F1196" s="2"/>
      <c r="G1196" s="2"/>
      <c r="H1196" s="2">
        <v>2540</v>
      </c>
      <c r="I1196" s="2">
        <f>I1195+I1192</f>
        <v>2800</v>
      </c>
    </row>
    <row r="1198" spans="3:9" x14ac:dyDescent="0.3">
      <c r="C1198" t="s">
        <v>414</v>
      </c>
      <c r="I1198">
        <v>1787</v>
      </c>
    </row>
    <row r="1199" spans="3:9" x14ac:dyDescent="0.3">
      <c r="C1199" t="s">
        <v>415</v>
      </c>
      <c r="I1199">
        <v>1013</v>
      </c>
    </row>
    <row r="1200" spans="3:9" x14ac:dyDescent="0.3">
      <c r="C1200" t="s">
        <v>416</v>
      </c>
      <c r="E1200" s="2"/>
      <c r="F1200" s="2"/>
      <c r="G1200" s="2"/>
      <c r="H1200" s="2"/>
      <c r="I1200" s="2">
        <f>SUM(I1198:I1199)</f>
        <v>2800</v>
      </c>
    </row>
    <row r="1201" spans="3:9" x14ac:dyDescent="0.3">
      <c r="E1201" s="2"/>
      <c r="F1201" s="2"/>
      <c r="G1201" s="2"/>
      <c r="H1201" s="2"/>
      <c r="I1201" s="2"/>
    </row>
    <row r="1202" spans="3:9" x14ac:dyDescent="0.3">
      <c r="C1202" t="s">
        <v>705</v>
      </c>
      <c r="I1202">
        <v>859</v>
      </c>
    </row>
    <row r="1203" spans="3:9" x14ac:dyDescent="0.3">
      <c r="C1203" s="2" t="s">
        <v>792</v>
      </c>
      <c r="I1203" s="2">
        <f>I1200+I1202</f>
        <v>3659</v>
      </c>
    </row>
    <row r="1204" spans="3:9" x14ac:dyDescent="0.3">
      <c r="C1204" t="s">
        <v>793</v>
      </c>
      <c r="I1204">
        <v>439</v>
      </c>
    </row>
    <row r="1205" spans="3:9" x14ac:dyDescent="0.3">
      <c r="C1205" s="2"/>
      <c r="I1205" s="47">
        <f>I1203+I1204</f>
        <v>4098</v>
      </c>
    </row>
    <row r="1206" spans="3:9" x14ac:dyDescent="0.3">
      <c r="C1206" s="2"/>
    </row>
    <row r="1207" spans="3:9" ht="21" x14ac:dyDescent="0.4">
      <c r="C1207" s="54" t="s">
        <v>393</v>
      </c>
      <c r="E1207" s="2"/>
      <c r="F1207" s="2"/>
      <c r="G1207" s="2"/>
      <c r="H1207" s="2"/>
    </row>
    <row r="1208" spans="3:9" x14ac:dyDescent="0.3">
      <c r="C1208" t="s">
        <v>387</v>
      </c>
      <c r="E1208" s="2"/>
      <c r="F1208" s="2"/>
      <c r="G1208" s="2"/>
      <c r="H1208">
        <v>600</v>
      </c>
      <c r="I1208">
        <v>776</v>
      </c>
    </row>
    <row r="1209" spans="3:9" x14ac:dyDescent="0.3">
      <c r="C1209" t="s">
        <v>389</v>
      </c>
      <c r="E1209" s="2"/>
      <c r="F1209" s="2"/>
      <c r="G1209" s="2"/>
      <c r="H1209">
        <v>261</v>
      </c>
      <c r="I1209">
        <v>382</v>
      </c>
    </row>
    <row r="1210" spans="3:9" x14ac:dyDescent="0.3">
      <c r="C1210" t="s">
        <v>394</v>
      </c>
      <c r="E1210" s="47">
        <f>SUM(E1208:E1209)</f>
        <v>0</v>
      </c>
      <c r="F1210" s="47">
        <f>SUM(F1208:F1209)</f>
        <v>0</v>
      </c>
      <c r="G1210" s="47">
        <f>SUM(G1208:G1209)</f>
        <v>0</v>
      </c>
      <c r="H1210" s="47">
        <f>SUM(H1208:H1209)</f>
        <v>861</v>
      </c>
      <c r="I1210" s="47">
        <f>SUM(I1208:I1209)</f>
        <v>1158</v>
      </c>
    </row>
    <row r="1211" spans="3:9" x14ac:dyDescent="0.3">
      <c r="C1211" t="s">
        <v>395</v>
      </c>
      <c r="E1211" s="2"/>
      <c r="F1211" s="2"/>
      <c r="G1211" s="2"/>
      <c r="H1211">
        <v>70</v>
      </c>
      <c r="I1211">
        <v>140</v>
      </c>
    </row>
    <row r="1212" spans="3:9" x14ac:dyDescent="0.3">
      <c r="C1212" t="s">
        <v>396</v>
      </c>
      <c r="E1212" s="2">
        <f>E1210+E1211</f>
        <v>0</v>
      </c>
      <c r="F1212" s="2">
        <f>F1210+F1211</f>
        <v>0</v>
      </c>
      <c r="G1212" s="2">
        <f>G1210+G1211</f>
        <v>0</v>
      </c>
      <c r="H1212" s="2">
        <f>H1210+H1211</f>
        <v>931</v>
      </c>
      <c r="I1212" s="2">
        <f>I1210+I1211</f>
        <v>1298</v>
      </c>
    </row>
    <row r="1213" spans="3:9" x14ac:dyDescent="0.3">
      <c r="E1213" s="2"/>
      <c r="F1213" s="2"/>
      <c r="G1213" s="2"/>
      <c r="H1213" s="2"/>
    </row>
    <row r="1214" spans="3:9" ht="18" x14ac:dyDescent="0.35">
      <c r="C1214" s="62" t="s">
        <v>386</v>
      </c>
      <c r="E1214" s="2"/>
      <c r="F1214" s="2"/>
      <c r="G1214" s="2"/>
      <c r="H1214" s="2"/>
    </row>
    <row r="1215" spans="3:9" x14ac:dyDescent="0.3">
      <c r="C1215" s="2" t="s">
        <v>397</v>
      </c>
      <c r="E1215" s="2"/>
      <c r="F1215" s="2"/>
      <c r="G1215" s="2"/>
      <c r="H1215" s="2"/>
    </row>
    <row r="1216" spans="3:9" x14ac:dyDescent="0.3">
      <c r="C1216" s="2" t="s">
        <v>398</v>
      </c>
      <c r="E1216" s="2"/>
      <c r="F1216" s="2"/>
      <c r="G1216" s="2"/>
      <c r="H1216" s="2">
        <v>199</v>
      </c>
      <c r="I1216" s="2">
        <v>247</v>
      </c>
    </row>
    <row r="1217" spans="3:9" x14ac:dyDescent="0.3">
      <c r="C1217" s="2"/>
      <c r="E1217" s="2"/>
      <c r="F1217" s="2"/>
      <c r="G1217" s="2"/>
      <c r="H1217" s="2"/>
      <c r="I1217" s="2"/>
    </row>
    <row r="1218" spans="3:9" x14ac:dyDescent="0.3">
      <c r="C1218" t="s">
        <v>399</v>
      </c>
      <c r="E1218" s="2"/>
      <c r="F1218" s="2"/>
      <c r="G1218" s="2"/>
      <c r="H1218" s="2">
        <v>48</v>
      </c>
      <c r="I1218">
        <v>78</v>
      </c>
    </row>
    <row r="1219" spans="3:9" x14ac:dyDescent="0.3">
      <c r="C1219" t="s">
        <v>400</v>
      </c>
      <c r="E1219" s="2"/>
      <c r="F1219" s="2"/>
      <c r="G1219" s="2"/>
      <c r="H1219" s="2">
        <v>13</v>
      </c>
      <c r="I1219">
        <v>61</v>
      </c>
    </row>
    <row r="1220" spans="3:9" x14ac:dyDescent="0.3">
      <c r="C1220" s="2" t="s">
        <v>401</v>
      </c>
      <c r="E1220" s="2"/>
      <c r="F1220" s="2"/>
      <c r="G1220" s="2"/>
      <c r="H1220" s="2">
        <f>SUM(H1218:H1219)</f>
        <v>61</v>
      </c>
      <c r="I1220" s="2">
        <f>SUM(I1218:I1219)</f>
        <v>139</v>
      </c>
    </row>
    <row r="1221" spans="3:9" x14ac:dyDescent="0.3">
      <c r="C1221" s="2"/>
      <c r="E1221" s="2"/>
      <c r="F1221" s="2"/>
      <c r="G1221" s="2"/>
      <c r="H1221" s="2"/>
      <c r="I1221" s="2"/>
    </row>
    <row r="1222" spans="3:9" ht="21" x14ac:dyDescent="0.4">
      <c r="C1222" s="54" t="s">
        <v>134</v>
      </c>
      <c r="E1222" s="47"/>
      <c r="F1222" s="47">
        <v>177</v>
      </c>
      <c r="G1222" s="47">
        <v>218</v>
      </c>
      <c r="H1222" s="47">
        <f>H1220+H1216</f>
        <v>260</v>
      </c>
      <c r="I1222" s="47">
        <f>I1220+I1216</f>
        <v>386</v>
      </c>
    </row>
    <row r="1223" spans="3:9" ht="21" x14ac:dyDescent="0.4">
      <c r="C1223" s="54" t="s">
        <v>426</v>
      </c>
      <c r="E1223" s="2"/>
      <c r="F1223" s="2"/>
      <c r="G1223" s="2"/>
      <c r="H1223" s="2"/>
      <c r="I1223" s="2"/>
    </row>
    <row r="1224" spans="3:9" x14ac:dyDescent="0.3">
      <c r="C1224" t="s">
        <v>424</v>
      </c>
      <c r="E1224" s="2"/>
      <c r="F1224" s="2">
        <v>177</v>
      </c>
      <c r="G1224">
        <v>199</v>
      </c>
      <c r="H1224">
        <v>217</v>
      </c>
      <c r="I1224">
        <v>270</v>
      </c>
    </row>
    <row r="1225" spans="3:9" x14ac:dyDescent="0.3">
      <c r="C1225" t="s">
        <v>425</v>
      </c>
      <c r="E1225" s="2"/>
      <c r="F1225" s="2"/>
      <c r="G1225">
        <v>19</v>
      </c>
      <c r="H1225">
        <v>42</v>
      </c>
      <c r="I1225">
        <v>116</v>
      </c>
    </row>
    <row r="1226" spans="3:9" ht="21" x14ac:dyDescent="0.4">
      <c r="C1226" s="54" t="s">
        <v>134</v>
      </c>
      <c r="E1226" s="47">
        <f>SUM(E1224:E1225)</f>
        <v>0</v>
      </c>
      <c r="F1226" s="47">
        <f>SUM(F1224:F1225)</f>
        <v>177</v>
      </c>
      <c r="G1226" s="47">
        <f>SUM(G1224:G1225)</f>
        <v>218</v>
      </c>
      <c r="H1226" s="47">
        <f>SUM(H1224:H1225)</f>
        <v>259</v>
      </c>
      <c r="I1226" s="47">
        <f>SUM(I1224:I1225)</f>
        <v>386</v>
      </c>
    </row>
    <row r="1227" spans="3:9" ht="21" x14ac:dyDescent="0.4">
      <c r="C1227" s="54"/>
      <c r="E1227" s="2"/>
      <c r="F1227" s="2"/>
      <c r="G1227" s="2"/>
      <c r="H1227" s="2"/>
      <c r="I1227" s="2"/>
    </row>
    <row r="1228" spans="3:9" x14ac:dyDescent="0.3">
      <c r="C1228" t="s">
        <v>402</v>
      </c>
      <c r="E1228" s="2"/>
      <c r="F1228" s="2"/>
      <c r="G1228" s="2"/>
      <c r="H1228" s="2"/>
      <c r="I1228">
        <f>I1184</f>
        <v>1385</v>
      </c>
    </row>
    <row r="1229" spans="3:9" x14ac:dyDescent="0.3">
      <c r="C1229" t="s">
        <v>403</v>
      </c>
      <c r="E1229" s="2"/>
      <c r="F1229" s="2"/>
      <c r="G1229" s="2"/>
      <c r="H1229" s="2"/>
      <c r="I1229">
        <f>I1189</f>
        <v>1078</v>
      </c>
    </row>
    <row r="1230" spans="3:9" ht="21" x14ac:dyDescent="0.4">
      <c r="C1230" s="54" t="s">
        <v>404</v>
      </c>
      <c r="E1230" s="2"/>
      <c r="F1230" s="2"/>
      <c r="G1230" s="2"/>
      <c r="H1230" s="2"/>
      <c r="I1230" s="2">
        <f>SUM(I1228:I1229)</f>
        <v>2463</v>
      </c>
    </row>
    <row r="1231" spans="3:9" x14ac:dyDescent="0.3">
      <c r="C1231" t="s">
        <v>405</v>
      </c>
      <c r="E1231" s="2"/>
      <c r="F1231" s="2"/>
      <c r="G1231" s="2"/>
      <c r="H1231" s="2"/>
    </row>
    <row r="1232" spans="3:9" ht="21" x14ac:dyDescent="0.4">
      <c r="C1232" s="54" t="s">
        <v>406</v>
      </c>
      <c r="E1232" s="2"/>
      <c r="F1232" s="2"/>
      <c r="G1232" s="2"/>
      <c r="H1232" s="2"/>
      <c r="I1232" s="2"/>
    </row>
    <row r="1233" spans="3:9" x14ac:dyDescent="0.3">
      <c r="C1233" t="s">
        <v>407</v>
      </c>
      <c r="E1233" s="2"/>
      <c r="F1233" s="2"/>
      <c r="G1233" s="2"/>
      <c r="H1233" s="2">
        <f>H1210</f>
        <v>861</v>
      </c>
      <c r="I1233" s="2">
        <f>I1210</f>
        <v>1158</v>
      </c>
    </row>
    <row r="1234" spans="3:9" ht="21" x14ac:dyDescent="0.4">
      <c r="C1234" s="54" t="s">
        <v>408</v>
      </c>
      <c r="E1234" s="2"/>
      <c r="F1234" s="2"/>
      <c r="G1234" s="2"/>
      <c r="H1234" s="2"/>
      <c r="I1234" s="2"/>
    </row>
    <row r="1235" spans="3:9" x14ac:dyDescent="0.3">
      <c r="C1235" t="s">
        <v>409</v>
      </c>
      <c r="E1235">
        <f>E1086</f>
        <v>249.4</v>
      </c>
      <c r="F1235">
        <f>F1086</f>
        <v>274.39999999999998</v>
      </c>
      <c r="G1235">
        <f>G1086</f>
        <v>292.7</v>
      </c>
      <c r="H1235">
        <f>H1086</f>
        <v>300.3</v>
      </c>
      <c r="I1235">
        <f>I1086</f>
        <v>305.10000000000002</v>
      </c>
    </row>
    <row r="1236" spans="3:9" ht="21" x14ac:dyDescent="0.4">
      <c r="C1236" s="54" t="s">
        <v>410</v>
      </c>
    </row>
    <row r="1237" spans="3:9" x14ac:dyDescent="0.3">
      <c r="C1237" t="s">
        <v>411</v>
      </c>
    </row>
    <row r="1238" spans="3:9" ht="21" x14ac:dyDescent="0.4">
      <c r="C1238" s="54" t="s">
        <v>392</v>
      </c>
    </row>
    <row r="1239" spans="3:9" ht="21" x14ac:dyDescent="0.4">
      <c r="C1239" s="54" t="s">
        <v>412</v>
      </c>
    </row>
    <row r="1240" spans="3:9" ht="21" x14ac:dyDescent="0.4">
      <c r="C1240" s="54"/>
    </row>
    <row r="1241" spans="3:9" ht="21" x14ac:dyDescent="0.4">
      <c r="C1241" s="54"/>
    </row>
    <row r="1242" spans="3:9" ht="21" x14ac:dyDescent="0.4">
      <c r="C1242" s="54" t="s">
        <v>427</v>
      </c>
    </row>
    <row r="1243" spans="3:9" x14ac:dyDescent="0.3">
      <c r="C1243" t="s">
        <v>262</v>
      </c>
      <c r="I1243">
        <v>1893</v>
      </c>
    </row>
    <row r="1244" spans="3:9" x14ac:dyDescent="0.3">
      <c r="C1244" t="s">
        <v>428</v>
      </c>
      <c r="I1244">
        <v>2800</v>
      </c>
    </row>
    <row r="1245" spans="3:9" ht="21" x14ac:dyDescent="0.4">
      <c r="C1245" s="54" t="s">
        <v>429</v>
      </c>
      <c r="I1245" s="2">
        <f>SUM(I1243:I1244)</f>
        <v>4693</v>
      </c>
    </row>
    <row r="1246" spans="3:9" x14ac:dyDescent="0.3">
      <c r="C1246" t="s">
        <v>430</v>
      </c>
      <c r="I1246">
        <v>1297</v>
      </c>
    </row>
    <row r="1247" spans="3:9" ht="21" x14ac:dyDescent="0.4">
      <c r="C1247" s="54" t="s">
        <v>431</v>
      </c>
      <c r="I1247" s="2">
        <f>SUM(I1245:I1246)</f>
        <v>5990</v>
      </c>
    </row>
    <row r="1248" spans="3:9" x14ac:dyDescent="0.3">
      <c r="C1248" t="s">
        <v>432</v>
      </c>
      <c r="I1248">
        <v>301</v>
      </c>
    </row>
    <row r="1249" spans="2:9" x14ac:dyDescent="0.3">
      <c r="C1249" t="s">
        <v>277</v>
      </c>
      <c r="I1249">
        <v>78</v>
      </c>
    </row>
    <row r="1250" spans="2:9" x14ac:dyDescent="0.3">
      <c r="C1250" t="s">
        <v>433</v>
      </c>
      <c r="I1250">
        <v>104</v>
      </c>
    </row>
    <row r="1251" spans="2:9" x14ac:dyDescent="0.3">
      <c r="C1251" t="s">
        <v>273</v>
      </c>
      <c r="I1251" s="2">
        <f>SUM(I1247:I1250)</f>
        <v>6473</v>
      </c>
    </row>
    <row r="1252" spans="2:9" x14ac:dyDescent="0.3">
      <c r="C1252" t="s">
        <v>434</v>
      </c>
      <c r="I1252">
        <v>530</v>
      </c>
    </row>
    <row r="1253" spans="2:9" x14ac:dyDescent="0.3">
      <c r="B1253" s="2" t="s">
        <v>436</v>
      </c>
      <c r="I1253" s="2">
        <f>SUM(I1251:I1252)</f>
        <v>7003</v>
      </c>
    </row>
    <row r="1254" spans="2:9" x14ac:dyDescent="0.3">
      <c r="B1254" t="s">
        <v>440</v>
      </c>
      <c r="C1254" t="s">
        <v>437</v>
      </c>
      <c r="I1254">
        <v>111</v>
      </c>
    </row>
    <row r="1255" spans="2:9" x14ac:dyDescent="0.3">
      <c r="C1255" t="s">
        <v>438</v>
      </c>
      <c r="H1255">
        <v>254</v>
      </c>
      <c r="I1255">
        <v>301</v>
      </c>
    </row>
    <row r="1256" spans="2:9" x14ac:dyDescent="0.3">
      <c r="C1256" t="s">
        <v>435</v>
      </c>
      <c r="H1256">
        <v>98</v>
      </c>
      <c r="I1256">
        <v>118</v>
      </c>
    </row>
    <row r="1257" spans="2:9" x14ac:dyDescent="0.3">
      <c r="C1257" t="s">
        <v>439</v>
      </c>
      <c r="H1257">
        <v>158</v>
      </c>
      <c r="I1257">
        <v>178</v>
      </c>
    </row>
    <row r="1258" spans="2:9" x14ac:dyDescent="0.3">
      <c r="B1258" t="s">
        <v>441</v>
      </c>
      <c r="C1258" t="s">
        <v>442</v>
      </c>
      <c r="H1258">
        <v>-648</v>
      </c>
      <c r="I1258">
        <v>749</v>
      </c>
    </row>
    <row r="1259" spans="2:9" x14ac:dyDescent="0.3">
      <c r="C1259" t="s">
        <v>443</v>
      </c>
      <c r="H1259">
        <v>64</v>
      </c>
      <c r="I1259">
        <v>62</v>
      </c>
    </row>
    <row r="1260" spans="2:9" x14ac:dyDescent="0.3">
      <c r="I1260" s="2">
        <f>I1253+I1254+I1255+I1256+I1257-I1258-I1259</f>
        <v>6900</v>
      </c>
    </row>
    <row r="1261" spans="2:9" x14ac:dyDescent="0.3">
      <c r="I1261" s="2"/>
    </row>
    <row r="1262" spans="2:9" ht="18" x14ac:dyDescent="0.35">
      <c r="C1262" s="62" t="s">
        <v>423</v>
      </c>
    </row>
    <row r="1263" spans="2:9" x14ac:dyDescent="0.3">
      <c r="C1263" t="s">
        <v>708</v>
      </c>
      <c r="I1263">
        <v>125</v>
      </c>
    </row>
    <row r="1264" spans="2:9" x14ac:dyDescent="0.3">
      <c r="C1264" t="s">
        <v>709</v>
      </c>
      <c r="I1264">
        <v>130</v>
      </c>
    </row>
    <row r="1265" spans="3:9" x14ac:dyDescent="0.3">
      <c r="I1265" s="47">
        <f>SUM(I1263:I1264)</f>
        <v>255</v>
      </c>
    </row>
    <row r="1266" spans="3:9" x14ac:dyDescent="0.3">
      <c r="C1266" t="s">
        <v>710</v>
      </c>
      <c r="I1266">
        <v>170</v>
      </c>
    </row>
    <row r="1267" spans="3:9" x14ac:dyDescent="0.3">
      <c r="C1267" t="s">
        <v>711</v>
      </c>
      <c r="I1267">
        <v>125</v>
      </c>
    </row>
    <row r="1268" spans="3:9" x14ac:dyDescent="0.3">
      <c r="I1268" s="47">
        <f>SUM(I1266:I1267)</f>
        <v>295</v>
      </c>
    </row>
    <row r="1270" spans="3:9" x14ac:dyDescent="0.3">
      <c r="C1270" t="s">
        <v>712</v>
      </c>
      <c r="I1270">
        <f>I1263+I1266</f>
        <v>295</v>
      </c>
    </row>
    <row r="1271" spans="3:9" x14ac:dyDescent="0.3">
      <c r="C1271" t="s">
        <v>713</v>
      </c>
      <c r="I1271">
        <f>I1264+I1267</f>
        <v>255</v>
      </c>
    </row>
    <row r="1272" spans="3:9" x14ac:dyDescent="0.3">
      <c r="C1272" t="s">
        <v>134</v>
      </c>
      <c r="I1272" s="47">
        <f>I1270+I1271</f>
        <v>550</v>
      </c>
    </row>
    <row r="1275" spans="3:9" x14ac:dyDescent="0.3">
      <c r="C1275" t="s">
        <v>714</v>
      </c>
    </row>
    <row r="1276" spans="3:9" x14ac:dyDescent="0.3">
      <c r="C1276" t="s">
        <v>715</v>
      </c>
      <c r="I1276" s="10">
        <v>3.1E-2</v>
      </c>
    </row>
    <row r="1277" spans="3:9" x14ac:dyDescent="0.3">
      <c r="C1277" t="s">
        <v>716</v>
      </c>
      <c r="I1277" s="10">
        <v>1.7999999999999999E-2</v>
      </c>
    </row>
    <row r="1278" spans="3:9" x14ac:dyDescent="0.3">
      <c r="C1278" t="s">
        <v>717</v>
      </c>
      <c r="I1278" s="10">
        <v>8.0000000000000002E-3</v>
      </c>
    </row>
    <row r="1279" spans="3:9" x14ac:dyDescent="0.3">
      <c r="C1279" t="s">
        <v>113</v>
      </c>
      <c r="I1279" s="10">
        <v>5.7000000000000002E-2</v>
      </c>
    </row>
    <row r="1280" spans="3:9" x14ac:dyDescent="0.3">
      <c r="C1280" t="s">
        <v>700</v>
      </c>
      <c r="I1280" s="10">
        <v>0.16500000000000001</v>
      </c>
    </row>
    <row r="1283" spans="3:9" x14ac:dyDescent="0.3">
      <c r="C1283" t="s">
        <v>718</v>
      </c>
    </row>
    <row r="1284" spans="3:9" x14ac:dyDescent="0.3">
      <c r="C1284" t="s">
        <v>585</v>
      </c>
      <c r="H1284">
        <v>198</v>
      </c>
      <c r="I1284">
        <v>248</v>
      </c>
    </row>
    <row r="1285" spans="3:9" x14ac:dyDescent="0.3">
      <c r="C1285" t="s">
        <v>719</v>
      </c>
      <c r="H1285">
        <v>48</v>
      </c>
      <c r="I1285">
        <v>78</v>
      </c>
    </row>
    <row r="1286" spans="3:9" x14ac:dyDescent="0.3">
      <c r="C1286" t="s">
        <v>720</v>
      </c>
      <c r="H1286">
        <v>13</v>
      </c>
      <c r="I1286">
        <v>60</v>
      </c>
    </row>
    <row r="1287" spans="3:9" x14ac:dyDescent="0.3">
      <c r="C1287" t="s">
        <v>721</v>
      </c>
      <c r="H1287">
        <v>61</v>
      </c>
      <c r="I1287">
        <v>138</v>
      </c>
    </row>
    <row r="1288" spans="3:9" x14ac:dyDescent="0.3">
      <c r="C1288" t="s">
        <v>134</v>
      </c>
      <c r="H1288" s="47">
        <f>H1287+H1284</f>
        <v>259</v>
      </c>
      <c r="I1288" s="47">
        <f>I1287+I1284</f>
        <v>386</v>
      </c>
    </row>
    <row r="1293" spans="3:9" ht="21" x14ac:dyDescent="0.4">
      <c r="C1293" s="54" t="s">
        <v>722</v>
      </c>
    </row>
    <row r="1294" spans="3:9" x14ac:dyDescent="0.3">
      <c r="C1294" t="s">
        <v>113</v>
      </c>
      <c r="H1294">
        <v>5061</v>
      </c>
      <c r="I1294">
        <v>5613</v>
      </c>
    </row>
    <row r="1295" spans="3:9" x14ac:dyDescent="0.3">
      <c r="I1295" s="2"/>
    </row>
    <row r="1296" spans="3:9" x14ac:dyDescent="0.3">
      <c r="I1296" s="2"/>
    </row>
    <row r="1297" spans="3:9" x14ac:dyDescent="0.3">
      <c r="C1297" t="s">
        <v>775</v>
      </c>
    </row>
    <row r="1298" spans="3:9" x14ac:dyDescent="0.3">
      <c r="C1298" t="s">
        <v>776</v>
      </c>
    </row>
    <row r="1299" spans="3:9" ht="15.6" x14ac:dyDescent="0.3">
      <c r="C1299" s="39" t="s">
        <v>658</v>
      </c>
    </row>
    <row r="1300" spans="3:9" ht="15.6" x14ac:dyDescent="0.3">
      <c r="C1300" s="39" t="s">
        <v>71</v>
      </c>
    </row>
    <row r="1301" spans="3:9" ht="15.6" x14ac:dyDescent="0.3">
      <c r="C1301" s="67" t="s">
        <v>734</v>
      </c>
      <c r="E1301">
        <v>4862</v>
      </c>
      <c r="F1301">
        <v>5516</v>
      </c>
      <c r="G1301">
        <v>5842</v>
      </c>
      <c r="H1301">
        <v>6321</v>
      </c>
      <c r="I1301">
        <v>7004</v>
      </c>
    </row>
    <row r="1302" spans="3:9" ht="15.6" x14ac:dyDescent="0.3">
      <c r="C1302" s="67" t="s">
        <v>755</v>
      </c>
      <c r="F1302">
        <v>370</v>
      </c>
      <c r="G1302">
        <v>525</v>
      </c>
    </row>
    <row r="1303" spans="3:9" ht="18" x14ac:dyDescent="0.35">
      <c r="C1303" s="66" t="s">
        <v>735</v>
      </c>
      <c r="F1303">
        <v>5146</v>
      </c>
      <c r="G1303">
        <v>5317</v>
      </c>
      <c r="H1303">
        <v>5061</v>
      </c>
      <c r="I1303">
        <v>5613</v>
      </c>
    </row>
    <row r="1304" spans="3:9" x14ac:dyDescent="0.3">
      <c r="I1304" s="2"/>
    </row>
    <row r="1305" spans="3:9" x14ac:dyDescent="0.3">
      <c r="I1305" s="2"/>
    </row>
    <row r="1306" spans="3:9" x14ac:dyDescent="0.3">
      <c r="C1306" s="2" t="s">
        <v>695</v>
      </c>
    </row>
    <row r="1307" spans="3:9" x14ac:dyDescent="0.3">
      <c r="C1307" t="s">
        <v>396</v>
      </c>
      <c r="E1307">
        <v>1432</v>
      </c>
      <c r="F1307">
        <v>1865</v>
      </c>
      <c r="G1307">
        <v>1865</v>
      </c>
      <c r="H1307">
        <v>1849</v>
      </c>
      <c r="I1307">
        <v>1893</v>
      </c>
    </row>
    <row r="1309" spans="3:9" x14ac:dyDescent="0.3">
      <c r="C1309" t="s">
        <v>696</v>
      </c>
    </row>
    <row r="1310" spans="3:9" x14ac:dyDescent="0.3">
      <c r="C1310" t="s">
        <v>697</v>
      </c>
    </row>
    <row r="1312" spans="3:9" x14ac:dyDescent="0.3">
      <c r="C1312" t="s">
        <v>368</v>
      </c>
      <c r="E1312">
        <v>107</v>
      </c>
      <c r="F1312">
        <v>240</v>
      </c>
      <c r="G1312">
        <v>245</v>
      </c>
      <c r="H1312">
        <v>237</v>
      </c>
      <c r="I1312">
        <v>226</v>
      </c>
    </row>
    <row r="1314" spans="3:9" x14ac:dyDescent="0.3">
      <c r="C1314" t="s">
        <v>698</v>
      </c>
      <c r="F1314">
        <v>-36</v>
      </c>
      <c r="G1314">
        <v>-34</v>
      </c>
      <c r="H1314">
        <v>-33</v>
      </c>
      <c r="I1314">
        <v>-33</v>
      </c>
    </row>
    <row r="1316" spans="3:9" x14ac:dyDescent="0.3">
      <c r="C1316" t="s">
        <v>699</v>
      </c>
      <c r="F1316">
        <v>204</v>
      </c>
      <c r="G1316">
        <v>210</v>
      </c>
      <c r="H1316">
        <v>204</v>
      </c>
      <c r="I1316">
        <v>193</v>
      </c>
    </row>
    <row r="1317" spans="3:9" x14ac:dyDescent="0.3">
      <c r="C1317" t="s">
        <v>700</v>
      </c>
      <c r="H1317" s="11">
        <v>0.11</v>
      </c>
      <c r="I1317" s="10">
        <v>0.10199999999999999</v>
      </c>
    </row>
    <row r="1318" spans="3:9" x14ac:dyDescent="0.3">
      <c r="C1318" t="s">
        <v>790</v>
      </c>
      <c r="E1318">
        <v>65</v>
      </c>
    </row>
    <row r="1320" spans="3:9" x14ac:dyDescent="0.3">
      <c r="C1320" s="2" t="s">
        <v>238</v>
      </c>
    </row>
    <row r="1321" spans="3:9" x14ac:dyDescent="0.3">
      <c r="C1321" t="s">
        <v>701</v>
      </c>
      <c r="G1321">
        <v>2429</v>
      </c>
      <c r="H1321">
        <v>2540</v>
      </c>
      <c r="I1321">
        <v>2800</v>
      </c>
    </row>
    <row r="1322" spans="3:9" x14ac:dyDescent="0.3">
      <c r="C1322" t="s">
        <v>258</v>
      </c>
      <c r="G1322">
        <v>411</v>
      </c>
      <c r="H1322">
        <v>444</v>
      </c>
      <c r="I1322">
        <v>511</v>
      </c>
    </row>
    <row r="1325" spans="3:9" x14ac:dyDescent="0.3">
      <c r="C1325" s="2" t="s">
        <v>586</v>
      </c>
    </row>
    <row r="1326" spans="3:9" x14ac:dyDescent="0.3">
      <c r="C1326" t="s">
        <v>702</v>
      </c>
      <c r="G1326">
        <v>731</v>
      </c>
      <c r="H1326">
        <v>930</v>
      </c>
      <c r="I1326">
        <v>1297</v>
      </c>
    </row>
    <row r="1327" spans="3:9" x14ac:dyDescent="0.3">
      <c r="C1327" t="s">
        <v>699</v>
      </c>
      <c r="G1327">
        <v>95</v>
      </c>
      <c r="H1327">
        <v>129</v>
      </c>
      <c r="I1327">
        <v>196</v>
      </c>
    </row>
    <row r="1329" spans="3:9" x14ac:dyDescent="0.3">
      <c r="C1329" s="2" t="s">
        <v>396</v>
      </c>
      <c r="E1329">
        <v>3104</v>
      </c>
      <c r="F1329">
        <v>3007</v>
      </c>
      <c r="G1329">
        <v>3160</v>
      </c>
    </row>
    <row r="1330" spans="3:9" x14ac:dyDescent="0.3">
      <c r="C1330" t="s">
        <v>779</v>
      </c>
      <c r="E1330">
        <v>588</v>
      </c>
      <c r="F1330">
        <v>512</v>
      </c>
    </row>
    <row r="1333" spans="3:9" x14ac:dyDescent="0.3">
      <c r="C1333" s="2" t="s">
        <v>706</v>
      </c>
    </row>
    <row r="1334" spans="3:9" x14ac:dyDescent="0.3">
      <c r="C1334" t="s">
        <v>414</v>
      </c>
      <c r="E1334">
        <v>2.8</v>
      </c>
      <c r="F1334">
        <v>2.8</v>
      </c>
      <c r="G1334">
        <v>2.9</v>
      </c>
      <c r="H1334">
        <v>3.1</v>
      </c>
      <c r="I1334">
        <v>3.3</v>
      </c>
    </row>
    <row r="1335" spans="3:9" x14ac:dyDescent="0.3">
      <c r="C1335" t="s">
        <v>703</v>
      </c>
      <c r="E1335">
        <v>3.5</v>
      </c>
      <c r="F1335">
        <v>3.6</v>
      </c>
      <c r="G1335">
        <v>3.9</v>
      </c>
      <c r="H1335">
        <v>6.5</v>
      </c>
      <c r="I1335">
        <v>7.1</v>
      </c>
    </row>
    <row r="1336" spans="3:9" x14ac:dyDescent="0.3">
      <c r="C1336" t="s">
        <v>705</v>
      </c>
      <c r="E1336">
        <v>1.9</v>
      </c>
      <c r="F1336">
        <v>1.6</v>
      </c>
      <c r="G1336">
        <v>1.7</v>
      </c>
      <c r="H1336">
        <v>4.3</v>
      </c>
      <c r="I1336">
        <v>5.7</v>
      </c>
    </row>
    <row r="1337" spans="3:9" x14ac:dyDescent="0.3">
      <c r="C1337" t="s">
        <v>704</v>
      </c>
      <c r="E1337" s="2">
        <f>SUM(E1334:E1336)</f>
        <v>8.1999999999999993</v>
      </c>
      <c r="F1337" s="2">
        <f>SUM(F1334:F1336)</f>
        <v>8</v>
      </c>
      <c r="G1337" s="2">
        <f>SUM(G1334:G1336)</f>
        <v>8.5</v>
      </c>
      <c r="H1337" s="2">
        <f>SUM(H1334:H1336)</f>
        <v>13.899999999999999</v>
      </c>
      <c r="I1337" s="2">
        <f>SUM(I1334:I1336)</f>
        <v>16.099999999999998</v>
      </c>
    </row>
    <row r="1338" spans="3:9" x14ac:dyDescent="0.3">
      <c r="H1338" s="2"/>
      <c r="I1338" s="2"/>
    </row>
    <row r="1339" spans="3:9" x14ac:dyDescent="0.3">
      <c r="H1339" s="2"/>
      <c r="I1339" s="2"/>
    </row>
    <row r="1340" spans="3:9" x14ac:dyDescent="0.3">
      <c r="C1340" s="2" t="s">
        <v>241</v>
      </c>
      <c r="H1340" s="2"/>
      <c r="I1340" s="2"/>
    </row>
    <row r="1341" spans="3:9" x14ac:dyDescent="0.3">
      <c r="C1341" t="s">
        <v>752</v>
      </c>
      <c r="F1341">
        <v>26.5</v>
      </c>
      <c r="G1341">
        <v>42.8</v>
      </c>
      <c r="H1341" s="2">
        <v>76.599999999999994</v>
      </c>
      <c r="I1341" s="2">
        <v>90</v>
      </c>
    </row>
    <row r="1342" spans="3:9" x14ac:dyDescent="0.3">
      <c r="C1342" t="s">
        <v>753</v>
      </c>
      <c r="F1342">
        <v>21.1</v>
      </c>
      <c r="G1342">
        <v>32.299999999999997</v>
      </c>
      <c r="H1342" s="2">
        <v>63.6</v>
      </c>
      <c r="I1342" s="2">
        <v>73</v>
      </c>
    </row>
    <row r="1343" spans="3:9" x14ac:dyDescent="0.3">
      <c r="C1343" t="s">
        <v>754</v>
      </c>
      <c r="E1343" s="47">
        <f>E1341-E1342</f>
        <v>0</v>
      </c>
      <c r="F1343" s="47">
        <f>F1341-F1342</f>
        <v>5.3999999999999986</v>
      </c>
      <c r="G1343" s="47">
        <f>G1341-G1342</f>
        <v>10.5</v>
      </c>
      <c r="H1343" s="47">
        <f>H1341-H1342</f>
        <v>12.999999999999993</v>
      </c>
      <c r="I1343" s="47">
        <f>I1341-I1342</f>
        <v>17</v>
      </c>
    </row>
    <row r="1344" spans="3:9" x14ac:dyDescent="0.3">
      <c r="E1344" s="2"/>
      <c r="F1344" s="2"/>
      <c r="G1344" s="2"/>
      <c r="H1344" s="2"/>
      <c r="I1344" s="2"/>
    </row>
    <row r="1345" spans="3:10" x14ac:dyDescent="0.3">
      <c r="C1345" s="2" t="s">
        <v>769</v>
      </c>
      <c r="E1345" s="2"/>
      <c r="F1345" s="2"/>
      <c r="G1345" s="2"/>
      <c r="H1345" s="2"/>
      <c r="I1345" s="2"/>
    </row>
    <row r="1346" spans="3:10" x14ac:dyDescent="0.3">
      <c r="C1346" s="2" t="s">
        <v>768</v>
      </c>
      <c r="E1346" s="2"/>
      <c r="F1346" s="2">
        <v>110.3</v>
      </c>
      <c r="G1346" s="2">
        <v>148.5</v>
      </c>
      <c r="H1346" s="2">
        <v>194.6</v>
      </c>
      <c r="I1346" s="2">
        <v>233</v>
      </c>
    </row>
    <row r="1347" spans="3:10" x14ac:dyDescent="0.3">
      <c r="C1347" t="s">
        <v>770</v>
      </c>
      <c r="E1347" s="2"/>
      <c r="F1347">
        <v>21.2</v>
      </c>
      <c r="G1347">
        <v>30.3</v>
      </c>
      <c r="H1347" s="2">
        <v>40.1</v>
      </c>
      <c r="I1347" s="2">
        <v>48.1</v>
      </c>
    </row>
    <row r="1348" spans="3:10" x14ac:dyDescent="0.3">
      <c r="C1348" t="s">
        <v>771</v>
      </c>
      <c r="E1348" s="2"/>
      <c r="F1348">
        <v>7.7</v>
      </c>
      <c r="G1348">
        <v>13.3</v>
      </c>
      <c r="H1348" s="2">
        <v>18.399999999999999</v>
      </c>
      <c r="I1348" s="2">
        <v>21.7</v>
      </c>
    </row>
    <row r="1349" spans="3:10" x14ac:dyDescent="0.3">
      <c r="C1349" t="s">
        <v>772</v>
      </c>
      <c r="E1349" s="2"/>
      <c r="F1349">
        <v>7.6</v>
      </c>
      <c r="G1349">
        <v>8.8000000000000007</v>
      </c>
      <c r="H1349" s="2">
        <v>8.6</v>
      </c>
      <c r="I1349" s="2">
        <v>8.6999999999999993</v>
      </c>
    </row>
    <row r="1350" spans="3:10" x14ac:dyDescent="0.3">
      <c r="C1350" s="2" t="s">
        <v>773</v>
      </c>
      <c r="E1350" s="47">
        <f>SUM(E1347:E1349)</f>
        <v>0</v>
      </c>
      <c r="F1350" s="47">
        <f>SUM(F1347:F1349)</f>
        <v>36.5</v>
      </c>
      <c r="G1350" s="47">
        <f>SUM(G1347:G1349)</f>
        <v>52.400000000000006</v>
      </c>
      <c r="H1350" s="47">
        <f>SUM(H1347:H1349)</f>
        <v>67.099999999999994</v>
      </c>
      <c r="I1350" s="47">
        <f>SUM(I1347:I1349)</f>
        <v>78.5</v>
      </c>
    </row>
    <row r="1351" spans="3:10" x14ac:dyDescent="0.3">
      <c r="E1351" s="2"/>
      <c r="F1351" s="2"/>
      <c r="G1351" s="2"/>
      <c r="H1351" s="2"/>
      <c r="I1351" s="2"/>
    </row>
    <row r="1352" spans="3:10" x14ac:dyDescent="0.3">
      <c r="E1352" s="2"/>
      <c r="F1352" s="2"/>
      <c r="G1352" s="2"/>
      <c r="H1352" s="2"/>
      <c r="I1352" s="2"/>
    </row>
    <row r="1356" spans="3:10" x14ac:dyDescent="0.3">
      <c r="C1356" t="s">
        <v>707</v>
      </c>
      <c r="J1356" s="10">
        <v>2.1999999999999999E-2</v>
      </c>
    </row>
    <row r="1357" spans="3:10" x14ac:dyDescent="0.3">
      <c r="I1357" s="2"/>
    </row>
    <row r="1358" spans="3:10" x14ac:dyDescent="0.3">
      <c r="I1358" s="2"/>
    </row>
    <row r="1359" spans="3:10" ht="18" x14ac:dyDescent="0.35">
      <c r="C1359" s="66" t="s">
        <v>368</v>
      </c>
      <c r="E1359">
        <v>905</v>
      </c>
      <c r="F1359">
        <v>947</v>
      </c>
      <c r="G1359">
        <v>996</v>
      </c>
      <c r="H1359">
        <v>1090</v>
      </c>
      <c r="I1359">
        <v>1236</v>
      </c>
    </row>
    <row r="1360" spans="3:10" x14ac:dyDescent="0.3">
      <c r="C1360" t="s">
        <v>723</v>
      </c>
      <c r="E1360">
        <v>-50</v>
      </c>
      <c r="F1360">
        <v>-47</v>
      </c>
      <c r="G1360">
        <v>-47</v>
      </c>
      <c r="H1360">
        <v>-48</v>
      </c>
      <c r="I1360">
        <v>-49</v>
      </c>
    </row>
    <row r="1361" spans="3:9" ht="15.6" x14ac:dyDescent="0.3">
      <c r="C1361" s="67" t="s">
        <v>724</v>
      </c>
      <c r="E1361" s="46">
        <f>SUM(E1359:E1360)</f>
        <v>855</v>
      </c>
      <c r="F1361" s="46">
        <f>SUM(F1359:F1360)</f>
        <v>900</v>
      </c>
      <c r="G1361" s="46">
        <f>SUM(G1359:G1360)</f>
        <v>949</v>
      </c>
      <c r="H1361" s="46">
        <f>SUM(H1359:H1360)</f>
        <v>1042</v>
      </c>
      <c r="I1361" s="46">
        <f>SUM(I1359:I1360)</f>
        <v>1187</v>
      </c>
    </row>
    <row r="1362" spans="3:9" ht="15.6" x14ac:dyDescent="0.3">
      <c r="C1362" s="67" t="s">
        <v>725</v>
      </c>
      <c r="E1362">
        <v>-32</v>
      </c>
      <c r="F1362">
        <v>-25</v>
      </c>
      <c r="G1362">
        <v>-31</v>
      </c>
      <c r="H1362">
        <v>-31</v>
      </c>
      <c r="I1362">
        <v>-29</v>
      </c>
    </row>
    <row r="1363" spans="3:9" ht="15.6" x14ac:dyDescent="0.3">
      <c r="C1363" s="67" t="s">
        <v>319</v>
      </c>
      <c r="E1363" s="47">
        <f>E1361+E1362</f>
        <v>823</v>
      </c>
      <c r="F1363" s="47">
        <f>F1361+F1362</f>
        <v>875</v>
      </c>
      <c r="G1363" s="47">
        <f>G1361+G1362</f>
        <v>918</v>
      </c>
      <c r="H1363" s="47">
        <f>H1361+H1362</f>
        <v>1011</v>
      </c>
      <c r="I1363" s="47">
        <f>I1361+I1362</f>
        <v>1158</v>
      </c>
    </row>
    <row r="1364" spans="3:9" ht="15.6" x14ac:dyDescent="0.3">
      <c r="C1364" s="67"/>
      <c r="E1364" s="2"/>
      <c r="F1364" s="2"/>
      <c r="G1364" s="2"/>
      <c r="H1364" s="2"/>
      <c r="I1364" s="2"/>
    </row>
    <row r="1365" spans="3:9" ht="15.6" x14ac:dyDescent="0.3">
      <c r="C1365" s="67" t="s">
        <v>756</v>
      </c>
      <c r="E1365">
        <f>-(E1360+E1362)</f>
        <v>82</v>
      </c>
      <c r="F1365">
        <f>-(F1360+F1362)</f>
        <v>72</v>
      </c>
      <c r="G1365">
        <f>-(G1360+G1362)</f>
        <v>78</v>
      </c>
      <c r="H1365">
        <f>-(H1360+H1362)</f>
        <v>79</v>
      </c>
      <c r="I1365">
        <f>-(I1360+I1362)</f>
        <v>78</v>
      </c>
    </row>
    <row r="1366" spans="3:9" ht="15.6" x14ac:dyDescent="0.3">
      <c r="C1366" s="67" t="s">
        <v>777</v>
      </c>
      <c r="E1366">
        <v>32</v>
      </c>
    </row>
    <row r="1367" spans="3:9" ht="15.6" x14ac:dyDescent="0.3">
      <c r="C1367" s="67" t="s">
        <v>723</v>
      </c>
      <c r="E1367">
        <v>50</v>
      </c>
    </row>
    <row r="1368" spans="3:9" ht="15.6" x14ac:dyDescent="0.3">
      <c r="C1368" s="67"/>
    </row>
    <row r="1369" spans="3:9" ht="15.6" x14ac:dyDescent="0.3">
      <c r="C1369" s="67" t="s">
        <v>757</v>
      </c>
      <c r="F1369">
        <v>870</v>
      </c>
      <c r="G1369">
        <v>908</v>
      </c>
    </row>
    <row r="1370" spans="3:9" ht="15.6" x14ac:dyDescent="0.3">
      <c r="C1370" s="39" t="s">
        <v>736</v>
      </c>
    </row>
    <row r="1371" spans="3:9" ht="15.6" x14ac:dyDescent="0.3">
      <c r="C1371" s="67" t="s">
        <v>739</v>
      </c>
      <c r="H1371">
        <v>10</v>
      </c>
      <c r="I1371">
        <v>20</v>
      </c>
    </row>
    <row r="1372" spans="3:9" ht="15.6" x14ac:dyDescent="0.3">
      <c r="C1372" s="67" t="s">
        <v>737</v>
      </c>
      <c r="I1372">
        <v>-8</v>
      </c>
    </row>
    <row r="1373" spans="3:9" ht="15.6" x14ac:dyDescent="0.3">
      <c r="C1373" s="67" t="s">
        <v>738</v>
      </c>
      <c r="H1373">
        <v>-13</v>
      </c>
      <c r="I1373">
        <v>-6</v>
      </c>
    </row>
    <row r="1374" spans="3:9" ht="15.6" x14ac:dyDescent="0.3">
      <c r="C1374" s="67" t="s">
        <v>740</v>
      </c>
      <c r="H1374">
        <v>2</v>
      </c>
      <c r="I1374">
        <v>-3</v>
      </c>
    </row>
    <row r="1375" spans="3:9" ht="15.6" x14ac:dyDescent="0.3">
      <c r="C1375" s="67"/>
      <c r="E1375" s="47">
        <f>SUM(E1371:E1374)</f>
        <v>0</v>
      </c>
      <c r="F1375" s="47">
        <f>SUM(F1371:F1374)</f>
        <v>0</v>
      </c>
      <c r="G1375" s="47">
        <f>SUM(G1371:G1374)</f>
        <v>0</v>
      </c>
      <c r="H1375" s="47">
        <f>SUM(H1371:H1374)</f>
        <v>-1</v>
      </c>
      <c r="I1375" s="47">
        <f>SUM(I1371:I1374)</f>
        <v>3</v>
      </c>
    </row>
    <row r="1376" spans="3:9" ht="15.6" x14ac:dyDescent="0.3">
      <c r="C1376" s="67"/>
      <c r="E1376" s="2"/>
      <c r="F1376" s="2"/>
      <c r="G1376" s="2"/>
      <c r="H1376" s="2"/>
      <c r="I1376" s="2"/>
    </row>
    <row r="1377" spans="3:9" ht="23.4" x14ac:dyDescent="0.45">
      <c r="C1377" s="87" t="s">
        <v>734</v>
      </c>
      <c r="E1377">
        <v>4862</v>
      </c>
      <c r="F1377">
        <v>5516</v>
      </c>
      <c r="G1377">
        <v>5842</v>
      </c>
      <c r="H1377">
        <v>6321</v>
      </c>
      <c r="I1377">
        <v>7004</v>
      </c>
    </row>
    <row r="1378" spans="3:9" ht="18" x14ac:dyDescent="0.35">
      <c r="C1378" s="66" t="s">
        <v>368</v>
      </c>
      <c r="E1378">
        <v>905</v>
      </c>
      <c r="F1378">
        <v>947</v>
      </c>
      <c r="G1378">
        <v>996</v>
      </c>
      <c r="H1378">
        <v>1090</v>
      </c>
      <c r="I1378">
        <v>1236</v>
      </c>
    </row>
    <row r="1379" spans="3:9" x14ac:dyDescent="0.3">
      <c r="C1379" t="s">
        <v>723</v>
      </c>
      <c r="E1379">
        <v>-50</v>
      </c>
      <c r="F1379">
        <v>-47</v>
      </c>
      <c r="G1379">
        <v>-47</v>
      </c>
      <c r="H1379">
        <v>-48</v>
      </c>
      <c r="I1379">
        <v>-49</v>
      </c>
    </row>
    <row r="1380" spans="3:9" ht="15.6" x14ac:dyDescent="0.3">
      <c r="C1380" s="67" t="s">
        <v>724</v>
      </c>
      <c r="E1380" s="46">
        <f>SUM(E1378:E1379)</f>
        <v>855</v>
      </c>
      <c r="F1380" s="46">
        <f>SUM(F1378:F1379)</f>
        <v>900</v>
      </c>
      <c r="G1380" s="46">
        <f>SUM(G1378:G1379)</f>
        <v>949</v>
      </c>
      <c r="H1380" s="46">
        <f>SUM(H1378:H1379)</f>
        <v>1042</v>
      </c>
      <c r="I1380" s="46">
        <f>SUM(I1378:I1379)</f>
        <v>1187</v>
      </c>
    </row>
    <row r="1381" spans="3:9" ht="15.6" x14ac:dyDescent="0.3">
      <c r="C1381" s="67" t="s">
        <v>725</v>
      </c>
      <c r="E1381">
        <v>-32</v>
      </c>
      <c r="F1381">
        <v>-25</v>
      </c>
      <c r="G1381">
        <v>-31</v>
      </c>
      <c r="H1381">
        <v>-31</v>
      </c>
      <c r="I1381">
        <v>-29</v>
      </c>
    </row>
    <row r="1382" spans="3:9" ht="15.6" x14ac:dyDescent="0.3">
      <c r="C1382" s="67" t="s">
        <v>319</v>
      </c>
      <c r="E1382" s="47">
        <f>SUM(E1380:E1381)</f>
        <v>823</v>
      </c>
      <c r="F1382" s="47">
        <f>SUM(F1380:F1381)</f>
        <v>875</v>
      </c>
      <c r="G1382" s="47">
        <f>SUM(G1380:G1381)</f>
        <v>918</v>
      </c>
      <c r="H1382" s="47">
        <f>SUM(H1380:H1381)</f>
        <v>1011</v>
      </c>
      <c r="I1382" s="47">
        <f>SUM(I1380:I1381)</f>
        <v>1158</v>
      </c>
    </row>
    <row r="1383" spans="3:9" x14ac:dyDescent="0.3">
      <c r="C1383" t="s">
        <v>742</v>
      </c>
      <c r="E1383" s="2">
        <v>-146</v>
      </c>
      <c r="F1383" s="2">
        <v>-159</v>
      </c>
      <c r="G1383" s="2">
        <v>-216</v>
      </c>
      <c r="H1383" s="2">
        <v>-250</v>
      </c>
      <c r="I1383" s="2">
        <v>-288</v>
      </c>
    </row>
    <row r="1384" spans="3:9" ht="15.6" x14ac:dyDescent="0.3">
      <c r="C1384" s="67" t="s">
        <v>743</v>
      </c>
      <c r="E1384" s="47">
        <f>E1382+E1383</f>
        <v>677</v>
      </c>
      <c r="F1384" s="47">
        <f>F1382+F1383</f>
        <v>716</v>
      </c>
      <c r="G1384" s="47">
        <f>G1382+G1383</f>
        <v>702</v>
      </c>
      <c r="H1384" s="47">
        <f>H1382+H1383</f>
        <v>761</v>
      </c>
      <c r="I1384" s="47">
        <f>I1382+I1383</f>
        <v>870</v>
      </c>
    </row>
    <row r="1385" spans="3:9" ht="15.6" x14ac:dyDescent="0.3">
      <c r="C1385" s="67" t="s">
        <v>731</v>
      </c>
      <c r="E1385" s="2" t="s">
        <v>178</v>
      </c>
      <c r="F1385" s="2">
        <v>576.79999999999995</v>
      </c>
      <c r="G1385" s="2" t="s">
        <v>744</v>
      </c>
      <c r="H1385" s="2" t="s">
        <v>732</v>
      </c>
      <c r="I1385" s="2" t="s">
        <v>733</v>
      </c>
    </row>
    <row r="1386" spans="3:9" ht="15.6" x14ac:dyDescent="0.3">
      <c r="C1386" s="67"/>
      <c r="E1386" s="2"/>
      <c r="F1386" s="2"/>
      <c r="G1386" s="2"/>
      <c r="H1386" s="2"/>
      <c r="I1386" s="2"/>
    </row>
    <row r="1387" spans="3:9" ht="15.6" x14ac:dyDescent="0.3">
      <c r="C1387" s="67" t="s">
        <v>760</v>
      </c>
      <c r="E1387" s="2"/>
      <c r="F1387" s="2"/>
      <c r="G1387" s="2"/>
      <c r="H1387" s="2"/>
      <c r="I1387" s="2"/>
    </row>
    <row r="1388" spans="3:9" ht="15.6" x14ac:dyDescent="0.3">
      <c r="C1388" s="67" t="s">
        <v>759</v>
      </c>
      <c r="E1388" s="2"/>
      <c r="F1388" s="2"/>
      <c r="G1388" s="2">
        <v>109</v>
      </c>
      <c r="H1388" s="2"/>
      <c r="I1388" s="2"/>
    </row>
    <row r="1389" spans="3:9" ht="15.6" x14ac:dyDescent="0.3">
      <c r="C1389" s="67"/>
      <c r="E1389" s="2"/>
      <c r="F1389" s="2"/>
      <c r="G1389" s="2"/>
      <c r="H1389" s="2"/>
      <c r="I1389" s="2"/>
    </row>
    <row r="1390" spans="3:9" ht="15.6" x14ac:dyDescent="0.3">
      <c r="C1390" s="67"/>
      <c r="E1390" s="2"/>
      <c r="F1390" s="2"/>
      <c r="G1390" s="2"/>
      <c r="H1390" s="2"/>
      <c r="I1390" s="2"/>
    </row>
    <row r="1391" spans="3:9" x14ac:dyDescent="0.3">
      <c r="C1391" t="s">
        <v>726</v>
      </c>
      <c r="G1391" t="s">
        <v>745</v>
      </c>
      <c r="H1391" t="s">
        <v>730</v>
      </c>
      <c r="I1391" t="s">
        <v>729</v>
      </c>
    </row>
    <row r="1392" spans="3:9" x14ac:dyDescent="0.3">
      <c r="C1392" t="s">
        <v>727</v>
      </c>
      <c r="I1392" t="s">
        <v>728</v>
      </c>
    </row>
    <row r="1393" spans="2:12" ht="15.6" x14ac:dyDescent="0.3">
      <c r="C1393" s="67" t="s">
        <v>758</v>
      </c>
      <c r="E1393" s="2"/>
      <c r="F1393" s="2">
        <v>140</v>
      </c>
      <c r="G1393" s="2">
        <v>141</v>
      </c>
      <c r="H1393" s="2"/>
      <c r="I1393" s="2"/>
    </row>
    <row r="1395" spans="2:12" x14ac:dyDescent="0.3">
      <c r="C1395" t="s">
        <v>741</v>
      </c>
      <c r="E1395" s="10">
        <f>-E1383/E1382</f>
        <v>0.17739975698663427</v>
      </c>
      <c r="F1395" s="10">
        <f>-F1383/F1382</f>
        <v>0.18171428571428572</v>
      </c>
      <c r="G1395" s="10">
        <f>-G1383/G1382</f>
        <v>0.23529411764705882</v>
      </c>
      <c r="H1395" s="10">
        <f>-H1383/H1382</f>
        <v>0.24727992087042533</v>
      </c>
    </row>
    <row r="1396" spans="2:12" x14ac:dyDescent="0.3">
      <c r="G1396" s="10"/>
      <c r="H1396" s="10"/>
    </row>
    <row r="1397" spans="2:12" ht="23.4" x14ac:dyDescent="0.45">
      <c r="C1397" s="63"/>
    </row>
    <row r="1400" spans="2:12" x14ac:dyDescent="0.3">
      <c r="C1400" t="s">
        <v>671</v>
      </c>
      <c r="E1400" s="11">
        <v>0.22</v>
      </c>
      <c r="F1400" s="11">
        <v>0.24</v>
      </c>
      <c r="G1400" s="11">
        <v>0.18</v>
      </c>
      <c r="H1400" s="11">
        <v>0.15</v>
      </c>
      <c r="I1400" s="11">
        <v>0.15</v>
      </c>
      <c r="J1400" s="10">
        <v>0.19600000000000001</v>
      </c>
    </row>
    <row r="1401" spans="2:12" x14ac:dyDescent="0.3">
      <c r="E1401" s="11"/>
      <c r="F1401" s="11"/>
      <c r="G1401" s="11"/>
      <c r="H1401" s="11"/>
      <c r="I1401" s="11"/>
      <c r="J1401" s="10"/>
    </row>
    <row r="1402" spans="2:12" x14ac:dyDescent="0.3">
      <c r="B1402" t="s">
        <v>503</v>
      </c>
      <c r="E1402" s="11"/>
      <c r="F1402" s="11"/>
      <c r="G1402" s="11"/>
      <c r="H1402" s="11"/>
      <c r="I1402" s="11"/>
      <c r="J1402" s="10"/>
    </row>
    <row r="1403" spans="2:12" x14ac:dyDescent="0.3">
      <c r="C1403" s="2" t="s">
        <v>747</v>
      </c>
      <c r="E1403">
        <v>823</v>
      </c>
      <c r="F1403">
        <v>875</v>
      </c>
      <c r="G1403">
        <v>918</v>
      </c>
      <c r="H1403">
        <v>1011</v>
      </c>
      <c r="I1403">
        <v>1158</v>
      </c>
      <c r="J1403" s="10"/>
    </row>
    <row r="1404" spans="2:12" x14ac:dyDescent="0.3">
      <c r="C1404" t="s">
        <v>748</v>
      </c>
      <c r="E1404" s="11"/>
      <c r="F1404" s="11"/>
      <c r="G1404" s="11"/>
      <c r="H1404" s="11"/>
      <c r="I1404">
        <v>24</v>
      </c>
      <c r="J1404" s="10"/>
    </row>
    <row r="1405" spans="2:12" x14ac:dyDescent="0.3">
      <c r="C1405" t="s">
        <v>656</v>
      </c>
      <c r="E1405">
        <v>111</v>
      </c>
      <c r="F1405">
        <v>110</v>
      </c>
      <c r="G1405">
        <v>128</v>
      </c>
      <c r="H1405">
        <v>148</v>
      </c>
      <c r="I1405">
        <v>153</v>
      </c>
    </row>
    <row r="1406" spans="2:12" x14ac:dyDescent="0.3">
      <c r="C1406" t="s">
        <v>657</v>
      </c>
      <c r="E1406">
        <v>-184</v>
      </c>
      <c r="F1406">
        <v>-206</v>
      </c>
      <c r="G1406">
        <v>-167</v>
      </c>
      <c r="H1406">
        <v>-151</v>
      </c>
      <c r="I1406">
        <v>-168</v>
      </c>
      <c r="J1406">
        <v>237</v>
      </c>
      <c r="K1406">
        <v>245</v>
      </c>
      <c r="L1406">
        <v>220</v>
      </c>
    </row>
    <row r="1407" spans="2:12" x14ac:dyDescent="0.3">
      <c r="C1407" t="s">
        <v>672</v>
      </c>
      <c r="E1407">
        <v>-183</v>
      </c>
      <c r="F1407">
        <v>-268</v>
      </c>
      <c r="G1407">
        <v>-4</v>
      </c>
      <c r="H1407">
        <v>-97</v>
      </c>
      <c r="I1407">
        <v>-143</v>
      </c>
    </row>
    <row r="1408" spans="2:12" x14ac:dyDescent="0.3">
      <c r="C1408" t="s">
        <v>742</v>
      </c>
    </row>
    <row r="1409" spans="3:9" x14ac:dyDescent="0.3">
      <c r="C1409" t="s">
        <v>674</v>
      </c>
      <c r="E1409">
        <v>-125</v>
      </c>
      <c r="F1409">
        <v>-151</v>
      </c>
      <c r="G1409">
        <v>-191</v>
      </c>
      <c r="H1409">
        <v>-243</v>
      </c>
      <c r="I1409">
        <v>-233</v>
      </c>
    </row>
    <row r="1410" spans="3:9" x14ac:dyDescent="0.3">
      <c r="C1410" t="s">
        <v>673</v>
      </c>
      <c r="F1410">
        <v>-91</v>
      </c>
      <c r="G1410">
        <v>-161</v>
      </c>
      <c r="H1410">
        <v>-11</v>
      </c>
      <c r="I1410">
        <v>-6</v>
      </c>
    </row>
    <row r="1411" spans="3:9" x14ac:dyDescent="0.3">
      <c r="C1411" t="s">
        <v>762</v>
      </c>
      <c r="E1411">
        <v>-79</v>
      </c>
    </row>
    <row r="1412" spans="3:9" x14ac:dyDescent="0.3">
      <c r="C1412" s="2" t="s">
        <v>746</v>
      </c>
      <c r="E1412" s="47">
        <f>SUM(E1403:E1411)</f>
        <v>363</v>
      </c>
      <c r="F1412" s="47">
        <f>SUM(F1403:F1410)</f>
        <v>269</v>
      </c>
      <c r="G1412" s="47">
        <f>SUM(G1403:G1410)</f>
        <v>523</v>
      </c>
      <c r="H1412" s="47">
        <f>SUM(H1403:H1410)</f>
        <v>657</v>
      </c>
      <c r="I1412" s="47">
        <f>SUM(I1403:I1410)</f>
        <v>785</v>
      </c>
    </row>
    <row r="1413" spans="3:9" x14ac:dyDescent="0.3">
      <c r="C1413" t="s">
        <v>675</v>
      </c>
      <c r="F1413">
        <v>-237</v>
      </c>
      <c r="G1413">
        <v>-248</v>
      </c>
      <c r="H1413">
        <v>-258</v>
      </c>
      <c r="I1413">
        <v>-708</v>
      </c>
    </row>
    <row r="1414" spans="3:9" x14ac:dyDescent="0.3">
      <c r="C1414" t="s">
        <v>676</v>
      </c>
      <c r="E1414">
        <v>-353</v>
      </c>
      <c r="F1414">
        <v>-228</v>
      </c>
      <c r="G1414">
        <v>-177</v>
      </c>
      <c r="H1414">
        <v>-360</v>
      </c>
      <c r="I1414">
        <v>-131</v>
      </c>
    </row>
    <row r="1415" spans="3:9" x14ac:dyDescent="0.3">
      <c r="C1415" t="s">
        <v>749</v>
      </c>
      <c r="E1415" s="47">
        <f>-SUM(E1413:E1414)</f>
        <v>353</v>
      </c>
      <c r="F1415" s="47">
        <f>-SUM(F1413:F1414)</f>
        <v>465</v>
      </c>
      <c r="G1415" s="47">
        <f>-SUM(G1413:G1414)</f>
        <v>425</v>
      </c>
      <c r="H1415" s="47">
        <f>-SUM(H1413:H1414)</f>
        <v>618</v>
      </c>
      <c r="I1415" s="47">
        <f>-SUM(I1413:I1414)</f>
        <v>839</v>
      </c>
    </row>
    <row r="1417" spans="3:9" x14ac:dyDescent="0.3">
      <c r="C1417" s="2" t="s">
        <v>750</v>
      </c>
      <c r="E1417">
        <f>E1412-E1415</f>
        <v>10</v>
      </c>
      <c r="F1417">
        <f>F1412-F1415</f>
        <v>-196</v>
      </c>
      <c r="G1417">
        <f>G1412-G1415</f>
        <v>98</v>
      </c>
      <c r="H1417">
        <f>H1412-H1415</f>
        <v>39</v>
      </c>
      <c r="I1417">
        <f>I1412-I1415</f>
        <v>-54</v>
      </c>
    </row>
    <row r="1418" spans="3:9" x14ac:dyDescent="0.3">
      <c r="I1418" s="2"/>
    </row>
    <row r="1419" spans="3:9" x14ac:dyDescent="0.3">
      <c r="I1419" s="2"/>
    </row>
    <row r="1420" spans="3:9" x14ac:dyDescent="0.3">
      <c r="C1420" t="s">
        <v>680</v>
      </c>
      <c r="G1420">
        <v>198</v>
      </c>
      <c r="H1420">
        <v>194</v>
      </c>
      <c r="I1420">
        <v>187</v>
      </c>
    </row>
    <row r="1421" spans="3:9" x14ac:dyDescent="0.3">
      <c r="C1421" t="s">
        <v>751</v>
      </c>
      <c r="E1421">
        <v>1977</v>
      </c>
      <c r="F1421">
        <v>2035</v>
      </c>
      <c r="G1421">
        <v>2027</v>
      </c>
      <c r="H1421">
        <v>2070</v>
      </c>
      <c r="I1421">
        <v>2190</v>
      </c>
    </row>
    <row r="1422" spans="3:9" x14ac:dyDescent="0.3">
      <c r="C1422" t="s">
        <v>679</v>
      </c>
      <c r="F1422">
        <v>1255</v>
      </c>
      <c r="G1422">
        <v>1270</v>
      </c>
    </row>
    <row r="1423" spans="3:9" x14ac:dyDescent="0.3">
      <c r="C1423" t="s">
        <v>766</v>
      </c>
      <c r="E1423">
        <v>-815</v>
      </c>
      <c r="F1423">
        <v>813</v>
      </c>
      <c r="G1423">
        <v>1004</v>
      </c>
    </row>
    <row r="1424" spans="3:9" x14ac:dyDescent="0.3">
      <c r="C1424" t="s">
        <v>778</v>
      </c>
      <c r="E1424">
        <v>1281</v>
      </c>
    </row>
    <row r="1426" spans="3:5" x14ac:dyDescent="0.3">
      <c r="C1426" t="s">
        <v>417</v>
      </c>
      <c r="E1426" s="2">
        <f>SUM(E1427:E1430)</f>
        <v>1977</v>
      </c>
    </row>
    <row r="1427" spans="3:5" x14ac:dyDescent="0.3">
      <c r="C1427" t="s">
        <v>780</v>
      </c>
      <c r="E1427">
        <v>1436</v>
      </c>
    </row>
    <row r="1428" spans="3:5" x14ac:dyDescent="0.3">
      <c r="C1428" t="s">
        <v>781</v>
      </c>
      <c r="E1428">
        <v>190</v>
      </c>
    </row>
    <row r="1429" spans="3:5" x14ac:dyDescent="0.3">
      <c r="C1429" t="s">
        <v>782</v>
      </c>
      <c r="E1429">
        <v>102</v>
      </c>
    </row>
    <row r="1430" spans="3:5" x14ac:dyDescent="0.3">
      <c r="C1430" t="s">
        <v>783</v>
      </c>
      <c r="E1430">
        <v>249</v>
      </c>
    </row>
    <row r="1432" spans="3:5" x14ac:dyDescent="0.3">
      <c r="C1432" s="2" t="s">
        <v>419</v>
      </c>
      <c r="E1432">
        <v>1062</v>
      </c>
    </row>
    <row r="1433" spans="3:5" x14ac:dyDescent="0.3">
      <c r="C1433" s="2"/>
    </row>
    <row r="1434" spans="3:5" x14ac:dyDescent="0.3">
      <c r="C1434" t="s">
        <v>784</v>
      </c>
      <c r="E1434">
        <v>249</v>
      </c>
    </row>
    <row r="1435" spans="3:5" x14ac:dyDescent="0.3">
      <c r="C1435" t="s">
        <v>785</v>
      </c>
      <c r="E1435">
        <v>-27</v>
      </c>
    </row>
    <row r="1436" spans="3:5" x14ac:dyDescent="0.3">
      <c r="C1436" t="s">
        <v>786</v>
      </c>
      <c r="E1436">
        <v>-49</v>
      </c>
    </row>
    <row r="1437" spans="3:5" x14ac:dyDescent="0.3">
      <c r="C1437" s="2" t="s">
        <v>787</v>
      </c>
      <c r="E1437" s="48">
        <f>SUM(E1434:E1436)</f>
        <v>173</v>
      </c>
    </row>
    <row r="1438" spans="3:5" x14ac:dyDescent="0.3">
      <c r="C1438" t="s">
        <v>788</v>
      </c>
      <c r="E1438">
        <v>-31</v>
      </c>
    </row>
    <row r="1439" spans="3:5" x14ac:dyDescent="0.3">
      <c r="C1439" s="2" t="s">
        <v>789</v>
      </c>
      <c r="E1439" s="33">
        <f>SUM(E1437:E1438)</f>
        <v>142</v>
      </c>
    </row>
    <row r="1442" spans="3:10" x14ac:dyDescent="0.3">
      <c r="C1442" t="s">
        <v>687</v>
      </c>
    </row>
    <row r="1444" spans="3:10" x14ac:dyDescent="0.3">
      <c r="C1444" t="s">
        <v>608</v>
      </c>
      <c r="J1444">
        <v>318</v>
      </c>
    </row>
    <row r="1445" spans="3:10" x14ac:dyDescent="0.3">
      <c r="C1445" t="s">
        <v>688</v>
      </c>
      <c r="J1445">
        <v>500</v>
      </c>
    </row>
    <row r="1446" spans="3:10" x14ac:dyDescent="0.3">
      <c r="C1446" t="s">
        <v>689</v>
      </c>
      <c r="I1446">
        <v>196</v>
      </c>
    </row>
    <row r="1448" spans="3:10" x14ac:dyDescent="0.3">
      <c r="C1448" t="s">
        <v>690</v>
      </c>
      <c r="J1448">
        <v>978</v>
      </c>
    </row>
    <row r="1451" spans="3:10" x14ac:dyDescent="0.3">
      <c r="C1451" s="2" t="s">
        <v>672</v>
      </c>
      <c r="E1451">
        <f>-E1407</f>
        <v>183</v>
      </c>
      <c r="F1451">
        <f>-F1407</f>
        <v>268</v>
      </c>
      <c r="G1451">
        <f>-G1407</f>
        <v>4</v>
      </c>
      <c r="H1451">
        <f>-H1407</f>
        <v>97</v>
      </c>
      <c r="I1451">
        <f>-I1407</f>
        <v>143</v>
      </c>
    </row>
    <row r="1452" spans="3:10" x14ac:dyDescent="0.3">
      <c r="C1452" t="s">
        <v>761</v>
      </c>
      <c r="F1452">
        <v>-92</v>
      </c>
      <c r="G1452">
        <v>-16</v>
      </c>
    </row>
    <row r="1453" spans="3:10" x14ac:dyDescent="0.3">
      <c r="C1453" t="s">
        <v>762</v>
      </c>
      <c r="F1453">
        <v>-89</v>
      </c>
      <c r="G1453">
        <v>-19</v>
      </c>
    </row>
    <row r="1454" spans="3:10" x14ac:dyDescent="0.3">
      <c r="C1454" t="s">
        <v>763</v>
      </c>
      <c r="F1454">
        <v>-44</v>
      </c>
      <c r="G1454">
        <v>46</v>
      </c>
    </row>
    <row r="1457" spans="3:14" x14ac:dyDescent="0.3">
      <c r="C1457" t="s">
        <v>691</v>
      </c>
    </row>
    <row r="1458" spans="3:14" x14ac:dyDescent="0.3">
      <c r="C1458" t="s">
        <v>692</v>
      </c>
      <c r="I1458">
        <v>114</v>
      </c>
      <c r="K1458">
        <v>300</v>
      </c>
      <c r="N1458">
        <v>300</v>
      </c>
    </row>
    <row r="1459" spans="3:14" x14ac:dyDescent="0.3">
      <c r="C1459" t="s">
        <v>693</v>
      </c>
      <c r="J1459">
        <v>790</v>
      </c>
    </row>
    <row r="1460" spans="3:14" x14ac:dyDescent="0.3">
      <c r="C1460" t="s">
        <v>694</v>
      </c>
      <c r="J1460">
        <v>1125</v>
      </c>
    </row>
    <row r="1462" spans="3:14" x14ac:dyDescent="0.3">
      <c r="C1462" s="2" t="s">
        <v>678</v>
      </c>
      <c r="E1462" s="2">
        <f>E1471</f>
        <v>658</v>
      </c>
      <c r="F1462" s="2">
        <f>F1471</f>
        <v>695</v>
      </c>
      <c r="G1462" s="2">
        <f>G1471</f>
        <v>800</v>
      </c>
    </row>
    <row r="1463" spans="3:14" x14ac:dyDescent="0.3">
      <c r="C1463" t="s">
        <v>764</v>
      </c>
      <c r="G1463">
        <v>84</v>
      </c>
    </row>
    <row r="1464" spans="3:14" x14ac:dyDescent="0.3">
      <c r="C1464" t="s">
        <v>765</v>
      </c>
      <c r="G1464">
        <v>716</v>
      </c>
    </row>
    <row r="1466" spans="3:14" x14ac:dyDescent="0.3">
      <c r="I1466" s="2"/>
    </row>
    <row r="1467" spans="3:14" ht="23.4" x14ac:dyDescent="0.45">
      <c r="C1467" s="91" t="s">
        <v>774</v>
      </c>
      <c r="E1467">
        <v>90</v>
      </c>
      <c r="F1467">
        <v>171</v>
      </c>
    </row>
    <row r="1469" spans="3:14" x14ac:dyDescent="0.3">
      <c r="C1469" t="s">
        <v>677</v>
      </c>
      <c r="E1469">
        <v>636</v>
      </c>
      <c r="F1469">
        <v>713</v>
      </c>
      <c r="G1469">
        <v>771</v>
      </c>
      <c r="H1469">
        <v>769</v>
      </c>
      <c r="I1469">
        <v>746</v>
      </c>
    </row>
    <row r="1470" spans="3:14" x14ac:dyDescent="0.3">
      <c r="C1470" t="s">
        <v>767</v>
      </c>
      <c r="E1470">
        <v>90</v>
      </c>
      <c r="F1470">
        <v>184</v>
      </c>
      <c r="G1470">
        <v>577</v>
      </c>
      <c r="H1470">
        <v>551</v>
      </c>
      <c r="I1470">
        <v>532</v>
      </c>
    </row>
    <row r="1471" spans="3:14" x14ac:dyDescent="0.3">
      <c r="C1471" t="s">
        <v>678</v>
      </c>
      <c r="E1471">
        <v>658</v>
      </c>
      <c r="F1471">
        <v>695</v>
      </c>
      <c r="G1471">
        <v>800</v>
      </c>
      <c r="H1471">
        <v>900</v>
      </c>
      <c r="I1471">
        <v>979</v>
      </c>
    </row>
    <row r="1472" spans="3:14" x14ac:dyDescent="0.3">
      <c r="C1472" t="s">
        <v>679</v>
      </c>
      <c r="F1472">
        <v>1255</v>
      </c>
      <c r="G1472">
        <v>1270</v>
      </c>
      <c r="H1472">
        <v>1314</v>
      </c>
      <c r="I1472">
        <v>1340</v>
      </c>
    </row>
    <row r="1473" spans="3:19" x14ac:dyDescent="0.3">
      <c r="C1473" t="s">
        <v>681</v>
      </c>
      <c r="E1473">
        <v>1281</v>
      </c>
      <c r="F1473">
        <v>133</v>
      </c>
      <c r="G1473">
        <v>168</v>
      </c>
      <c r="H1473">
        <v>182</v>
      </c>
      <c r="I1473">
        <v>294</v>
      </c>
    </row>
    <row r="1474" spans="3:19" x14ac:dyDescent="0.3">
      <c r="C1474" t="s">
        <v>682</v>
      </c>
      <c r="E1474">
        <v>-815</v>
      </c>
      <c r="F1474">
        <v>-813</v>
      </c>
      <c r="G1474">
        <v>-1004</v>
      </c>
      <c r="H1474">
        <v>-1054</v>
      </c>
      <c r="I1474">
        <v>-1153</v>
      </c>
    </row>
    <row r="1475" spans="3:19" x14ac:dyDescent="0.3">
      <c r="C1475" t="s">
        <v>683</v>
      </c>
      <c r="E1475">
        <v>157</v>
      </c>
      <c r="F1475">
        <v>157</v>
      </c>
      <c r="G1475">
        <v>59</v>
      </c>
      <c r="H1475">
        <v>31</v>
      </c>
      <c r="I1475">
        <v>23</v>
      </c>
    </row>
    <row r="1476" spans="3:19" x14ac:dyDescent="0.3">
      <c r="C1476" t="s">
        <v>320</v>
      </c>
      <c r="E1476">
        <v>21</v>
      </c>
    </row>
    <row r="1477" spans="3:19" x14ac:dyDescent="0.3">
      <c r="C1477" t="s">
        <v>684</v>
      </c>
      <c r="E1477">
        <v>-600</v>
      </c>
      <c r="F1477">
        <v>-797</v>
      </c>
      <c r="G1477">
        <v>-700</v>
      </c>
      <c r="H1477">
        <v>-660</v>
      </c>
      <c r="I1477">
        <v>-713</v>
      </c>
    </row>
    <row r="1478" spans="3:19" x14ac:dyDescent="0.3">
      <c r="C1478" t="s">
        <v>685</v>
      </c>
      <c r="E1478">
        <v>639</v>
      </c>
      <c r="F1478">
        <v>662</v>
      </c>
      <c r="G1478">
        <v>735</v>
      </c>
      <c r="H1478">
        <v>737</v>
      </c>
      <c r="I1478">
        <v>733</v>
      </c>
    </row>
    <row r="1479" spans="3:19" x14ac:dyDescent="0.3">
      <c r="C1479" t="s">
        <v>686</v>
      </c>
      <c r="E1479">
        <v>-1057</v>
      </c>
      <c r="F1479">
        <v>-1023</v>
      </c>
      <c r="G1479">
        <v>-1038</v>
      </c>
      <c r="H1479">
        <v>-1014</v>
      </c>
      <c r="I1479">
        <v>-1000</v>
      </c>
    </row>
    <row r="1480" spans="3:19" x14ac:dyDescent="0.3">
      <c r="C1480" s="2" t="s">
        <v>123</v>
      </c>
      <c r="E1480" s="47">
        <f>SUM(E1469:E1479)</f>
        <v>1010</v>
      </c>
      <c r="F1480" s="47">
        <f>SUM(F1469:F1479)</f>
        <v>1166</v>
      </c>
      <c r="G1480" s="47">
        <f>SUM(G1469:G1479)</f>
        <v>1638</v>
      </c>
      <c r="H1480" s="47">
        <f>SUM(H1469:H1479)</f>
        <v>1756</v>
      </c>
      <c r="I1480" s="47">
        <f>SUM(I1469:I1479)</f>
        <v>1781</v>
      </c>
    </row>
    <row r="1481" spans="3:19" x14ac:dyDescent="0.3">
      <c r="I1481" s="2"/>
    </row>
    <row r="1482" spans="3:19" x14ac:dyDescent="0.3">
      <c r="I1482" s="2"/>
    </row>
    <row r="1484" spans="3:19" x14ac:dyDescent="0.3">
      <c r="E1484">
        <v>2022</v>
      </c>
      <c r="H1484">
        <v>2023</v>
      </c>
      <c r="K1484">
        <v>2024</v>
      </c>
      <c r="N1484">
        <v>2025</v>
      </c>
      <c r="Q1484">
        <v>2026</v>
      </c>
    </row>
    <row r="1485" spans="3:19" x14ac:dyDescent="0.3">
      <c r="C1485" s="41" t="s">
        <v>315</v>
      </c>
      <c r="E1485" t="s">
        <v>316</v>
      </c>
      <c r="F1485" t="s">
        <v>317</v>
      </c>
      <c r="G1485" t="s">
        <v>318</v>
      </c>
      <c r="H1485" t="s">
        <v>316</v>
      </c>
      <c r="I1485" t="s">
        <v>317</v>
      </c>
      <c r="J1485" t="s">
        <v>318</v>
      </c>
      <c r="K1485" t="s">
        <v>316</v>
      </c>
      <c r="L1485" t="s">
        <v>317</v>
      </c>
      <c r="M1485" t="s">
        <v>318</v>
      </c>
      <c r="N1485" t="s">
        <v>316</v>
      </c>
      <c r="O1485" t="s">
        <v>317</v>
      </c>
      <c r="P1485" t="s">
        <v>318</v>
      </c>
      <c r="Q1485" t="s">
        <v>316</v>
      </c>
      <c r="R1485" t="s">
        <v>317</v>
      </c>
      <c r="S1485" t="s">
        <v>318</v>
      </c>
    </row>
    <row r="1486" spans="3:19" x14ac:dyDescent="0.3">
      <c r="C1486" t="s">
        <v>319</v>
      </c>
      <c r="E1486">
        <f>'HISTORICAL FS'!E27</f>
        <v>823.09999999999945</v>
      </c>
      <c r="F1486">
        <f>E1491</f>
        <v>-19.600000000000001</v>
      </c>
      <c r="G1486" s="2">
        <f>E1486+F1486</f>
        <v>803.49999999999943</v>
      </c>
      <c r="H1486">
        <f>'HISTORICAL FS'!F27</f>
        <v>869.3000000000003</v>
      </c>
      <c r="I1486">
        <f>F1491</f>
        <v>-15.599999999999994</v>
      </c>
      <c r="J1486" s="2">
        <f>H1486+I1486</f>
        <v>853.70000000000027</v>
      </c>
      <c r="K1486">
        <f>'HISTORICAL FS'!G27</f>
        <v>1015.8</v>
      </c>
      <c r="L1486">
        <f>G1491</f>
        <v>-88.6</v>
      </c>
      <c r="M1486" s="2">
        <f>K1486+L1486</f>
        <v>927.19999999999993</v>
      </c>
      <c r="N1486">
        <f>'HISTORICAL FS'!H27</f>
        <v>987.00000000000034</v>
      </c>
      <c r="O1486">
        <f>H1491</f>
        <v>74.739999999999995</v>
      </c>
      <c r="P1486" s="2">
        <f>N1486+O1486</f>
        <v>1061.7400000000002</v>
      </c>
      <c r="Q1486">
        <f>'HISTORICAL FS'!I27</f>
        <v>1192.6000000000001</v>
      </c>
      <c r="R1486">
        <f>I1491</f>
        <v>45.64</v>
      </c>
      <c r="S1486" s="2">
        <f>Q1486+R1486</f>
        <v>1238.2400000000002</v>
      </c>
    </row>
    <row r="1487" spans="3:19" x14ac:dyDescent="0.3">
      <c r="C1487" t="s">
        <v>320</v>
      </c>
      <c r="E1487">
        <f>-'HISTORICAL FS'!E28</f>
        <v>145.6</v>
      </c>
      <c r="F1487">
        <f>$D$1493*F1486</f>
        <v>-4.9000000000000004</v>
      </c>
      <c r="G1487" s="2">
        <f>E1487+F1487</f>
        <v>140.69999999999999</v>
      </c>
      <c r="H1487">
        <f>-'HISTORICAL FS'!F28</f>
        <v>158.6</v>
      </c>
      <c r="I1487">
        <f>$D$1493*I1486</f>
        <v>-3.8999999999999986</v>
      </c>
      <c r="J1487" s="2">
        <f>H1487+I1487</f>
        <v>154.69999999999999</v>
      </c>
      <c r="K1487">
        <f>-'HISTORICAL FS'!G28</f>
        <v>215.3</v>
      </c>
      <c r="L1487">
        <f>$D$1493*L1486</f>
        <v>-22.15</v>
      </c>
      <c r="M1487" s="2">
        <f>K1487+L1487</f>
        <v>193.15</v>
      </c>
      <c r="N1487">
        <f>-'HISTORICAL FS'!H28</f>
        <v>243.8</v>
      </c>
      <c r="O1487">
        <f>$D$1493*O1486</f>
        <v>18.684999999999999</v>
      </c>
      <c r="P1487" s="2">
        <f>N1487+O1487</f>
        <v>262.48500000000001</v>
      </c>
      <c r="Q1487">
        <f>-'HISTORICAL FS'!I28</f>
        <v>294.60000000000002</v>
      </c>
      <c r="R1487">
        <f>$D$1493*R1486</f>
        <v>11.41</v>
      </c>
      <c r="S1487" s="2">
        <f>Q1487+R1487</f>
        <v>306.01000000000005</v>
      </c>
    </row>
    <row r="1488" spans="3:19" x14ac:dyDescent="0.3">
      <c r="C1488" t="s">
        <v>321</v>
      </c>
      <c r="E1488">
        <f>'HISTORICAL FS'!E29</f>
        <v>677.49999999999943</v>
      </c>
      <c r="G1488" s="2">
        <f>G1486-G1487</f>
        <v>662.7999999999995</v>
      </c>
      <c r="H1488">
        <f>'HISTORICAL FS'!F29</f>
        <v>710.70000000000027</v>
      </c>
      <c r="J1488" s="2">
        <f>J1486-J1487</f>
        <v>699.00000000000023</v>
      </c>
      <c r="K1488">
        <f>'HISTORICAL FS'!G29</f>
        <v>800.5</v>
      </c>
      <c r="M1488" s="2">
        <f>M1486-M1487</f>
        <v>734.05</v>
      </c>
      <c r="N1488">
        <f>'HISTORICAL FS'!H29</f>
        <v>743.20000000000027</v>
      </c>
      <c r="P1488" s="2">
        <f>P1486-P1487</f>
        <v>799.25500000000022</v>
      </c>
      <c r="Q1488">
        <f>'HISTORICAL FS'!I29</f>
        <v>898.00000000000011</v>
      </c>
      <c r="S1488" s="2">
        <f>S1486-S1487</f>
        <v>932.23000000000025</v>
      </c>
    </row>
    <row r="1491" spans="3:9" x14ac:dyDescent="0.3">
      <c r="C1491" t="s">
        <v>322</v>
      </c>
      <c r="E1491">
        <f>SUM(E767:E784)+SUM(E793:E794)</f>
        <v>-19.600000000000001</v>
      </c>
      <c r="F1491">
        <f>SUM(F767:F784)+SUM(F793:F794)</f>
        <v>-15.599999999999994</v>
      </c>
      <c r="G1491">
        <f>SUM(G767:G784)+SUM(G793:G794)</f>
        <v>-88.6</v>
      </c>
      <c r="H1491">
        <f>SUM(H767:H784)+SUM(H793:H794)</f>
        <v>74.739999999999995</v>
      </c>
      <c r="I1491">
        <f>SUM(I767:I784)+SUM(I793:I794)</f>
        <v>45.64</v>
      </c>
    </row>
    <row r="1493" spans="3:9" x14ac:dyDescent="0.3">
      <c r="C1493" t="s">
        <v>323</v>
      </c>
      <c r="D1493" s="11">
        <v>0.25</v>
      </c>
      <c r="F1493" s="11"/>
      <c r="G1493" s="11"/>
      <c r="H1493" s="11"/>
      <c r="I1493" s="11"/>
    </row>
    <row r="1494" spans="3:9" x14ac:dyDescent="0.3">
      <c r="I1494" s="2"/>
    </row>
    <row r="1495" spans="3:9" x14ac:dyDescent="0.3">
      <c r="I1495" s="2"/>
    </row>
    <row r="1496" spans="3:9" x14ac:dyDescent="0.3">
      <c r="C1496" s="2" t="s">
        <v>453</v>
      </c>
    </row>
    <row r="1497" spans="3:9" x14ac:dyDescent="0.3">
      <c r="C1497" t="s">
        <v>454</v>
      </c>
      <c r="E1497">
        <f>-'HISTORICAL FS'!E28</f>
        <v>145.6</v>
      </c>
      <c r="F1497">
        <f>-'HISTORICAL FS'!F28</f>
        <v>158.6</v>
      </c>
      <c r="G1497">
        <f>-'HISTORICAL FS'!G28</f>
        <v>215.3</v>
      </c>
      <c r="H1497">
        <f>-'HISTORICAL FS'!H28</f>
        <v>243.8</v>
      </c>
      <c r="I1497">
        <f>-'HISTORICAL FS'!I28</f>
        <v>294.60000000000002</v>
      </c>
    </row>
    <row r="1499" spans="3:9" x14ac:dyDescent="0.3">
      <c r="C1499" s="2" t="s">
        <v>455</v>
      </c>
    </row>
    <row r="1500" spans="3:9" x14ac:dyDescent="0.3">
      <c r="C1500" t="s">
        <v>456</v>
      </c>
      <c r="E1500">
        <v>134.80000000000001</v>
      </c>
      <c r="F1500">
        <v>155.6</v>
      </c>
      <c r="G1500">
        <v>203</v>
      </c>
      <c r="H1500">
        <v>231.9</v>
      </c>
      <c r="I1500">
        <v>282.2</v>
      </c>
    </row>
    <row r="1501" spans="3:9" x14ac:dyDescent="0.3">
      <c r="C1501" t="s">
        <v>457</v>
      </c>
      <c r="E1501">
        <v>10.8</v>
      </c>
      <c r="F1501">
        <v>3</v>
      </c>
      <c r="G1501">
        <v>12.3</v>
      </c>
      <c r="H1501">
        <v>11.9</v>
      </c>
      <c r="I1501">
        <v>12.4</v>
      </c>
    </row>
    <row r="1502" spans="3:9" x14ac:dyDescent="0.3">
      <c r="E1502" s="47">
        <f>SUM(E1500:E1501)</f>
        <v>145.60000000000002</v>
      </c>
      <c r="F1502" s="47">
        <f>SUM(F1500:F1501)</f>
        <v>158.6</v>
      </c>
      <c r="G1502" s="47">
        <f>SUM(G1500:G1501)</f>
        <v>215.3</v>
      </c>
      <c r="H1502" s="47">
        <f>SUM(H1500:H1501)</f>
        <v>243.8</v>
      </c>
      <c r="I1502" s="47">
        <f>SUM(I1500:I1501)</f>
        <v>294.59999999999997</v>
      </c>
    </row>
    <row r="1505" spans="3:9" x14ac:dyDescent="0.3">
      <c r="C1505" s="2" t="str">
        <f>C970</f>
        <v>Customer &amp; Other Receivables</v>
      </c>
    </row>
    <row r="1506" spans="3:9" x14ac:dyDescent="0.3">
      <c r="C1506" s="2" t="s">
        <v>417</v>
      </c>
      <c r="H1506" s="2">
        <v>2070</v>
      </c>
      <c r="I1506" s="2">
        <v>2190</v>
      </c>
    </row>
    <row r="1507" spans="3:9" x14ac:dyDescent="0.3">
      <c r="C1507" t="s">
        <v>419</v>
      </c>
      <c r="H1507">
        <v>1259</v>
      </c>
      <c r="I1507">
        <v>1284</v>
      </c>
    </row>
    <row r="1508" spans="3:9" x14ac:dyDescent="0.3">
      <c r="C1508" t="s">
        <v>418</v>
      </c>
      <c r="H1508">
        <v>1314</v>
      </c>
      <c r="I1508">
        <v>1340</v>
      </c>
    </row>
    <row r="1511" spans="3:9" x14ac:dyDescent="0.3">
      <c r="C1511" s="2" t="str">
        <f>C1505</f>
        <v>Customer &amp; Other Receivables</v>
      </c>
    </row>
    <row r="1512" spans="3:9" x14ac:dyDescent="0.3">
      <c r="C1512" t="s">
        <v>479</v>
      </c>
      <c r="E1512">
        <f>E1521</f>
        <v>1162.7</v>
      </c>
      <c r="F1512">
        <f>F1521</f>
        <v>1254.7</v>
      </c>
      <c r="G1512">
        <f>G1521</f>
        <v>1270.3999999999999</v>
      </c>
      <c r="H1512">
        <f>H1521</f>
        <v>1322.7</v>
      </c>
      <c r="I1512">
        <f>I1521</f>
        <v>1368.1</v>
      </c>
    </row>
    <row r="1513" spans="3:9" x14ac:dyDescent="0.3">
      <c r="C1513" t="s">
        <v>480</v>
      </c>
      <c r="E1513">
        <f>E1525</f>
        <v>24.4</v>
      </c>
      <c r="F1513">
        <f>F1525</f>
        <v>42.6</v>
      </c>
      <c r="G1513">
        <f>G1525</f>
        <v>62.900000000000006</v>
      </c>
      <c r="H1513">
        <f>H1525</f>
        <v>46.5</v>
      </c>
      <c r="I1513">
        <f>I1525</f>
        <v>139.79999999999998</v>
      </c>
    </row>
    <row r="1514" spans="3:9" x14ac:dyDescent="0.3">
      <c r="C1514" t="s">
        <v>476</v>
      </c>
      <c r="E1514">
        <v>53.1</v>
      </c>
      <c r="F1514">
        <v>54.9</v>
      </c>
      <c r="G1514">
        <v>63.6</v>
      </c>
      <c r="H1514">
        <v>68.3</v>
      </c>
      <c r="I1514">
        <v>77.400000000000006</v>
      </c>
    </row>
    <row r="1515" spans="3:9" x14ac:dyDescent="0.3">
      <c r="C1515" t="s">
        <v>477</v>
      </c>
      <c r="E1515">
        <v>14.1</v>
      </c>
      <c r="F1515">
        <v>40.700000000000003</v>
      </c>
      <c r="G1515">
        <v>43.8</v>
      </c>
      <c r="H1515">
        <v>58.7</v>
      </c>
      <c r="I1515">
        <v>55.4</v>
      </c>
    </row>
    <row r="1516" spans="3:9" x14ac:dyDescent="0.3">
      <c r="C1516" t="s">
        <v>478</v>
      </c>
      <c r="E1516">
        <v>26.6</v>
      </c>
      <c r="F1516">
        <v>32.6</v>
      </c>
      <c r="G1516">
        <v>12.1</v>
      </c>
      <c r="H1516">
        <v>12.2</v>
      </c>
      <c r="I1516">
        <v>19.899999999999999</v>
      </c>
    </row>
    <row r="1517" spans="3:9" x14ac:dyDescent="0.3">
      <c r="C1517" s="2" t="s">
        <v>113</v>
      </c>
      <c r="E1517" s="47">
        <f>SUM(E1512:E1516)</f>
        <v>1280.8999999999999</v>
      </c>
      <c r="F1517" s="47">
        <f>SUM(F1512:F1516)</f>
        <v>1425.5</v>
      </c>
      <c r="G1517" s="47">
        <f>SUM(G1512:G1516)</f>
        <v>1452.7999999999997</v>
      </c>
      <c r="H1517" s="47">
        <f>SUM(H1512:H1516)</f>
        <v>1508.4</v>
      </c>
      <c r="I1517" s="47">
        <f>SUM(I1512:I1516)</f>
        <v>1660.6000000000001</v>
      </c>
    </row>
    <row r="1519" spans="3:9" x14ac:dyDescent="0.3">
      <c r="C1519" t="s">
        <v>481</v>
      </c>
      <c r="E1519">
        <v>1353.9</v>
      </c>
      <c r="F1519">
        <v>1456.9</v>
      </c>
      <c r="G1519">
        <v>1477.8</v>
      </c>
      <c r="H1519">
        <v>1504.3</v>
      </c>
      <c r="I1519">
        <v>1533.5</v>
      </c>
    </row>
    <row r="1520" spans="3:9" x14ac:dyDescent="0.3">
      <c r="C1520" t="s">
        <v>482</v>
      </c>
      <c r="E1520">
        <v>191.2</v>
      </c>
      <c r="F1520">
        <v>202.2</v>
      </c>
      <c r="G1520">
        <v>207.4</v>
      </c>
      <c r="H1520">
        <v>181.6</v>
      </c>
      <c r="I1520">
        <v>165.4</v>
      </c>
    </row>
    <row r="1521" spans="3:9" x14ac:dyDescent="0.3">
      <c r="C1521" s="2" t="s">
        <v>113</v>
      </c>
      <c r="E1521" s="47">
        <f>E1519-E1520</f>
        <v>1162.7</v>
      </c>
      <c r="F1521" s="47">
        <f>F1519-F1520</f>
        <v>1254.7</v>
      </c>
      <c r="G1521" s="47">
        <f>G1519-G1520</f>
        <v>1270.3999999999999</v>
      </c>
      <c r="H1521" s="47">
        <f>H1519-H1520</f>
        <v>1322.7</v>
      </c>
      <c r="I1521" s="47">
        <f>I1519-I1520</f>
        <v>1368.1</v>
      </c>
    </row>
    <row r="1523" spans="3:9" x14ac:dyDescent="0.3">
      <c r="C1523" t="s">
        <v>483</v>
      </c>
      <c r="E1523">
        <v>24.9</v>
      </c>
      <c r="F1523">
        <v>42.9</v>
      </c>
      <c r="G1523">
        <v>64.900000000000006</v>
      </c>
      <c r="H1523">
        <v>47.9</v>
      </c>
      <c r="I1523">
        <v>143.69999999999999</v>
      </c>
    </row>
    <row r="1524" spans="3:9" x14ac:dyDescent="0.3">
      <c r="C1524" t="s">
        <v>484</v>
      </c>
      <c r="E1524">
        <v>0.5</v>
      </c>
      <c r="F1524">
        <v>0.3</v>
      </c>
      <c r="G1524">
        <v>2</v>
      </c>
      <c r="H1524">
        <v>1.4</v>
      </c>
      <c r="I1524">
        <v>3.9</v>
      </c>
    </row>
    <row r="1525" spans="3:9" x14ac:dyDescent="0.3">
      <c r="C1525" s="2" t="s">
        <v>113</v>
      </c>
      <c r="E1525" s="47">
        <f>E1523-E1524</f>
        <v>24.4</v>
      </c>
      <c r="F1525" s="47">
        <f>F1523-F1524</f>
        <v>42.6</v>
      </c>
      <c r="G1525" s="47">
        <f>G1523-G1524</f>
        <v>62.900000000000006</v>
      </c>
      <c r="H1525" s="47">
        <f>H1523-H1524</f>
        <v>46.5</v>
      </c>
      <c r="I1525" s="47">
        <f>I1523-I1524</f>
        <v>139.79999999999998</v>
      </c>
    </row>
    <row r="1530" spans="3:9" x14ac:dyDescent="0.3">
      <c r="C1530" s="2" t="str">
        <f>'HISTORICAL FS'!C128</f>
        <v>cash and short term deposits</v>
      </c>
    </row>
    <row r="1531" spans="3:9" x14ac:dyDescent="0.3">
      <c r="C1531" t="s">
        <v>473</v>
      </c>
      <c r="E1531">
        <v>383</v>
      </c>
      <c r="F1531">
        <v>105</v>
      </c>
      <c r="G1531">
        <v>139.30000000000001</v>
      </c>
      <c r="H1531">
        <v>107.9</v>
      </c>
      <c r="I1531">
        <v>46.5</v>
      </c>
    </row>
    <row r="1532" spans="3:9" x14ac:dyDescent="0.3">
      <c r="C1532" t="s">
        <v>474</v>
      </c>
      <c r="E1532">
        <v>50</v>
      </c>
      <c r="H1532">
        <v>92.5</v>
      </c>
      <c r="I1532">
        <v>49.7</v>
      </c>
    </row>
    <row r="1533" spans="3:9" x14ac:dyDescent="0.3">
      <c r="C1533" t="s">
        <v>475</v>
      </c>
      <c r="G1533">
        <v>49</v>
      </c>
    </row>
    <row r="1534" spans="3:9" x14ac:dyDescent="0.3">
      <c r="E1534" s="47">
        <f>SUM(E1531:E1533)</f>
        <v>433</v>
      </c>
      <c r="F1534" s="47">
        <f>SUM(F1531:F1533)</f>
        <v>105</v>
      </c>
      <c r="G1534" s="47">
        <f>SUM(G1531:G1533)</f>
        <v>188.3</v>
      </c>
      <c r="H1534" s="47">
        <f>SUM(H1531:H1533)</f>
        <v>200.4</v>
      </c>
      <c r="I1534" s="47">
        <f>SUM(I1531:I1533)</f>
        <v>96.2</v>
      </c>
    </row>
    <row r="1537" spans="3:20" x14ac:dyDescent="0.3">
      <c r="C1537" s="41" t="s">
        <v>82</v>
      </c>
    </row>
    <row r="1538" spans="3:20" x14ac:dyDescent="0.3">
      <c r="C1538" s="12" t="s">
        <v>83</v>
      </c>
      <c r="E1538">
        <v>13.3</v>
      </c>
      <c r="F1538">
        <v>12.9</v>
      </c>
      <c r="G1538">
        <v>12.7</v>
      </c>
      <c r="H1538">
        <v>12.4</v>
      </c>
      <c r="I1538">
        <v>12.3</v>
      </c>
    </row>
    <row r="1539" spans="3:20" x14ac:dyDescent="0.3">
      <c r="C1539" s="12" t="s">
        <v>84</v>
      </c>
      <c r="E1539">
        <v>0.9</v>
      </c>
      <c r="F1539">
        <v>0.9</v>
      </c>
      <c r="G1539">
        <v>54.2</v>
      </c>
      <c r="H1539">
        <v>54.2</v>
      </c>
      <c r="I1539">
        <v>54.2</v>
      </c>
    </row>
    <row r="1540" spans="3:20" x14ac:dyDescent="0.3">
      <c r="C1540" s="12" t="s">
        <v>490</v>
      </c>
      <c r="E1540">
        <v>16.600000000000001</v>
      </c>
      <c r="F1540">
        <v>17</v>
      </c>
      <c r="G1540">
        <v>17.3</v>
      </c>
      <c r="H1540">
        <v>17.600000000000001</v>
      </c>
      <c r="I1540">
        <v>458.5</v>
      </c>
    </row>
    <row r="1541" spans="3:20" x14ac:dyDescent="0.3">
      <c r="C1541" s="12" t="s">
        <v>487</v>
      </c>
      <c r="E1541">
        <v>-331.7</v>
      </c>
      <c r="F1541">
        <v>-396.7</v>
      </c>
      <c r="G1541">
        <v>-387.3</v>
      </c>
      <c r="H1541">
        <v>-427.7</v>
      </c>
      <c r="I1541">
        <v>-442.4</v>
      </c>
    </row>
    <row r="1542" spans="3:20" x14ac:dyDescent="0.3">
      <c r="C1542" s="12" t="s">
        <v>486</v>
      </c>
      <c r="E1542">
        <v>27.9</v>
      </c>
      <c r="F1542">
        <v>-11.3</v>
      </c>
      <c r="G1542">
        <v>-4.7</v>
      </c>
      <c r="H1542">
        <v>19.100000000000001</v>
      </c>
      <c r="I1542">
        <v>-16.100000000000001</v>
      </c>
    </row>
    <row r="1543" spans="3:20" x14ac:dyDescent="0.3">
      <c r="C1543" s="12" t="s">
        <v>488</v>
      </c>
      <c r="E1543">
        <v>0.7</v>
      </c>
      <c r="F1543">
        <v>0.4</v>
      </c>
      <c r="G1543">
        <v>-0.3</v>
      </c>
      <c r="H1543">
        <v>-0.2</v>
      </c>
      <c r="I1543">
        <v>-1</v>
      </c>
    </row>
    <row r="1544" spans="3:20" x14ac:dyDescent="0.3">
      <c r="C1544" s="12" t="s">
        <v>485</v>
      </c>
      <c r="E1544">
        <v>-4.9000000000000004</v>
      </c>
      <c r="F1544">
        <v>-3.7</v>
      </c>
      <c r="G1544">
        <v>-7.5</v>
      </c>
      <c r="H1544">
        <v>-9.6999999999999993</v>
      </c>
      <c r="I1544">
        <v>-7.3</v>
      </c>
    </row>
    <row r="1545" spans="3:20" x14ac:dyDescent="0.3">
      <c r="C1545" s="12" t="s">
        <v>489</v>
      </c>
      <c r="E1545">
        <v>-1443.8</v>
      </c>
      <c r="F1545">
        <v>-1443.8</v>
      </c>
      <c r="G1545">
        <v>-1443.8</v>
      </c>
      <c r="H1545">
        <v>-1448.9</v>
      </c>
      <c r="I1545">
        <v>-1889.7</v>
      </c>
    </row>
    <row r="1546" spans="3:20" x14ac:dyDescent="0.3">
      <c r="C1546" s="12" t="s">
        <v>491</v>
      </c>
      <c r="E1546">
        <v>2731</v>
      </c>
      <c r="F1546">
        <v>2984.8</v>
      </c>
      <c r="G1546">
        <v>3271.3</v>
      </c>
      <c r="H1546">
        <v>3419.5</v>
      </c>
      <c r="I1546">
        <v>3494</v>
      </c>
    </row>
    <row r="1547" spans="3:20" x14ac:dyDescent="0.3">
      <c r="E1547" s="46">
        <f>SUM(E1538:E1546)</f>
        <v>1010</v>
      </c>
      <c r="F1547" s="46">
        <f>SUM(F1538:F1546)</f>
        <v>1160.5000000000002</v>
      </c>
      <c r="G1547" s="46">
        <f>SUM(G1538:G1546)</f>
        <v>1511.9</v>
      </c>
      <c r="H1547" s="46">
        <f>SUM(H1538:H1546)</f>
        <v>1636.3</v>
      </c>
      <c r="I1547" s="46">
        <f>SUM(I1538:I1546)</f>
        <v>1662.5</v>
      </c>
    </row>
    <row r="1548" spans="3:20" x14ac:dyDescent="0.3">
      <c r="C1548" s="12" t="s">
        <v>492</v>
      </c>
      <c r="F1548">
        <v>4.5999999999999996</v>
      </c>
      <c r="G1548">
        <v>126.9</v>
      </c>
      <c r="H1548">
        <v>118</v>
      </c>
      <c r="I1548">
        <v>118</v>
      </c>
    </row>
    <row r="1549" spans="3:20" x14ac:dyDescent="0.3">
      <c r="C1549" s="41" t="s">
        <v>493</v>
      </c>
      <c r="E1549" s="47">
        <f>E1547+E1548</f>
        <v>1010</v>
      </c>
      <c r="F1549" s="47">
        <f>F1547+F1548</f>
        <v>1165.1000000000001</v>
      </c>
      <c r="G1549" s="47">
        <f>G1547+G1548</f>
        <v>1638.8000000000002</v>
      </c>
      <c r="H1549" s="47">
        <f>H1547+H1548</f>
        <v>1754.3</v>
      </c>
      <c r="I1549" s="47">
        <f>I1547+I1548</f>
        <v>1780.5</v>
      </c>
      <c r="J1549" s="2"/>
      <c r="K1549" s="2"/>
      <c r="L1549" s="2"/>
      <c r="M1549" s="2"/>
      <c r="N1549" s="2"/>
      <c r="O1549" s="2"/>
      <c r="P1549" s="2"/>
      <c r="Q1549" s="2"/>
      <c r="R1549" s="2"/>
      <c r="T1549" s="2"/>
    </row>
    <row r="1552" spans="3:20" x14ac:dyDescent="0.3">
      <c r="C1552" s="2" t="str">
        <f>'HISTORICAL FS'!C134</f>
        <v>Bank loans and overdrafts</v>
      </c>
    </row>
    <row r="1553" spans="3:9" x14ac:dyDescent="0.3">
      <c r="C1553" s="2" t="s">
        <v>497</v>
      </c>
    </row>
    <row r="1554" spans="3:9" x14ac:dyDescent="0.3">
      <c r="C1554" t="s">
        <v>494</v>
      </c>
      <c r="E1554">
        <v>233.1</v>
      </c>
      <c r="F1554">
        <v>102.3</v>
      </c>
      <c r="G1554">
        <v>30.1</v>
      </c>
      <c r="H1554">
        <v>29.1</v>
      </c>
      <c r="I1554">
        <v>36</v>
      </c>
    </row>
    <row r="1555" spans="3:9" x14ac:dyDescent="0.3">
      <c r="C1555" t="s">
        <v>495</v>
      </c>
      <c r="G1555">
        <v>5</v>
      </c>
      <c r="I1555">
        <v>60</v>
      </c>
    </row>
    <row r="1556" spans="3:9" x14ac:dyDescent="0.3">
      <c r="C1556" t="s">
        <v>496</v>
      </c>
      <c r="G1556">
        <v>23.6</v>
      </c>
      <c r="H1556">
        <v>31.5</v>
      </c>
    </row>
    <row r="1557" spans="3:9" x14ac:dyDescent="0.3">
      <c r="C1557" t="s">
        <v>113</v>
      </c>
      <c r="E1557" s="47">
        <f>SUM(E1554:E1556)</f>
        <v>233.1</v>
      </c>
      <c r="F1557" s="47">
        <f>SUM(F1554:F1556)</f>
        <v>102.3</v>
      </c>
      <c r="G1557" s="47">
        <f>SUM(G1554:G1556)</f>
        <v>58.7</v>
      </c>
      <c r="H1557" s="47">
        <f>SUM(H1554:H1556)</f>
        <v>60.6</v>
      </c>
      <c r="I1557" s="47">
        <f>SUM(I1554:I1556)</f>
        <v>96</v>
      </c>
    </row>
    <row r="1560" spans="3:9" x14ac:dyDescent="0.3">
      <c r="C1560" s="2" t="s">
        <v>498</v>
      </c>
    </row>
    <row r="1561" spans="3:9" x14ac:dyDescent="0.3">
      <c r="C1561" t="s">
        <v>494</v>
      </c>
    </row>
    <row r="1562" spans="3:9" x14ac:dyDescent="0.3">
      <c r="C1562" t="s">
        <v>495</v>
      </c>
      <c r="G1562">
        <v>28.9</v>
      </c>
    </row>
    <row r="1563" spans="3:9" x14ac:dyDescent="0.3">
      <c r="C1563" t="s">
        <v>496</v>
      </c>
      <c r="G1563">
        <v>0.6</v>
      </c>
    </row>
    <row r="1564" spans="3:9" x14ac:dyDescent="0.3">
      <c r="C1564" t="s">
        <v>113</v>
      </c>
      <c r="E1564" s="47">
        <f>SUM(E1561:E1563)</f>
        <v>0</v>
      </c>
      <c r="F1564" s="47">
        <f>SUM(F1561:F1563)</f>
        <v>0</v>
      </c>
      <c r="G1564" s="47">
        <f>SUM(G1561:G1563)</f>
        <v>29.5</v>
      </c>
      <c r="H1564" s="47">
        <f>SUM(H1561:H1563)</f>
        <v>0</v>
      </c>
      <c r="I1564" s="47">
        <f>SUM(I1561:I1563)</f>
        <v>0</v>
      </c>
    </row>
    <row r="1565" spans="3:9" x14ac:dyDescent="0.3">
      <c r="C1565" t="s">
        <v>353</v>
      </c>
    </row>
    <row r="1566" spans="3:9" x14ac:dyDescent="0.3">
      <c r="C1566" t="s">
        <v>354</v>
      </c>
    </row>
    <row r="1567" spans="3:9" x14ac:dyDescent="0.3">
      <c r="C1567" t="s">
        <v>355</v>
      </c>
    </row>
    <row r="1588" spans="3:20" x14ac:dyDescent="0.3">
      <c r="E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</row>
    <row r="1591" spans="3:20" x14ac:dyDescent="0.3">
      <c r="C1591" s="2"/>
    </row>
    <row r="1597" spans="3:20" x14ac:dyDescent="0.3">
      <c r="K1597" s="2"/>
      <c r="N1597" s="2"/>
      <c r="Q1597" s="2"/>
    </row>
    <row r="1598" spans="3:20" x14ac:dyDescent="0.3">
      <c r="K1598" s="2"/>
      <c r="N1598" s="2"/>
      <c r="Q1598" s="2"/>
      <c r="T1598" s="2"/>
    </row>
    <row r="1599" spans="3:20" x14ac:dyDescent="0.3">
      <c r="J1599" s="2"/>
      <c r="K1599" s="2"/>
      <c r="L1599" s="2"/>
      <c r="M1599" s="2"/>
      <c r="N1599" s="2"/>
      <c r="O1599" s="2"/>
      <c r="P1599" s="2"/>
      <c r="Q1599" s="2"/>
      <c r="R1599" s="2"/>
    </row>
    <row r="1600" spans="3:20" x14ac:dyDescent="0.3">
      <c r="J1600" s="2"/>
      <c r="K1600" s="2"/>
      <c r="L1600" s="2"/>
      <c r="M1600" s="2"/>
      <c r="N1600" s="2"/>
      <c r="O1600" s="2"/>
      <c r="P1600" s="2"/>
      <c r="Q1600" s="2"/>
      <c r="R1600" s="2"/>
    </row>
    <row r="1601" spans="3:23" x14ac:dyDescent="0.3">
      <c r="J1601" s="2"/>
      <c r="K1601" s="2"/>
      <c r="L1601" s="2"/>
      <c r="M1601" s="2"/>
      <c r="N1601" s="2"/>
      <c r="O1601" s="2"/>
      <c r="P1601" s="2"/>
      <c r="Q1601" s="2"/>
      <c r="R1601" s="2"/>
    </row>
    <row r="1604" spans="3:23" x14ac:dyDescent="0.3">
      <c r="S1604" s="52"/>
      <c r="T1604" s="2"/>
    </row>
    <row r="1605" spans="3:23" x14ac:dyDescent="0.3">
      <c r="Q1605" s="2"/>
      <c r="S1605" s="53"/>
      <c r="U1605" s="2"/>
      <c r="W1605" s="2"/>
    </row>
    <row r="1606" spans="3:23" x14ac:dyDescent="0.3">
      <c r="S1606" s="52"/>
    </row>
    <row r="1607" spans="3:23" x14ac:dyDescent="0.3">
      <c r="S1607" s="52"/>
    </row>
    <row r="1608" spans="3:23" x14ac:dyDescent="0.3">
      <c r="S1608" s="52"/>
    </row>
    <row r="1609" spans="3:23" x14ac:dyDescent="0.3">
      <c r="S1609" s="52"/>
    </row>
    <row r="1610" spans="3:23" x14ac:dyDescent="0.3">
      <c r="J1610" s="2"/>
      <c r="K1610" s="2"/>
      <c r="L1610" s="2"/>
      <c r="M1610" s="2"/>
      <c r="N1610" s="2"/>
      <c r="O1610" s="2"/>
      <c r="P1610" s="2"/>
      <c r="Q1610" s="2"/>
      <c r="R1610" s="2"/>
      <c r="S1610" s="53"/>
      <c r="T1610" s="2"/>
      <c r="U1610" s="2"/>
      <c r="V1610" s="2"/>
      <c r="W1610" s="2"/>
    </row>
    <row r="1611" spans="3:23" x14ac:dyDescent="0.3"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5" spans="3:23" x14ac:dyDescent="0.3">
      <c r="C1615" s="2"/>
    </row>
    <row r="1616" spans="3:23" x14ac:dyDescent="0.3">
      <c r="C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</row>
    <row r="1634" spans="3:9" ht="18" x14ac:dyDescent="0.35">
      <c r="C1634" s="66" t="s">
        <v>368</v>
      </c>
      <c r="E1634">
        <v>905</v>
      </c>
      <c r="F1634">
        <v>947</v>
      </c>
      <c r="G1634">
        <v>996</v>
      </c>
      <c r="H1634">
        <v>1090</v>
      </c>
      <c r="I1634">
        <v>1236</v>
      </c>
    </row>
    <row r="1635" spans="3:9" x14ac:dyDescent="0.3">
      <c r="C1635" t="s">
        <v>723</v>
      </c>
      <c r="E1635">
        <v>-50</v>
      </c>
      <c r="F1635">
        <v>-47</v>
      </c>
      <c r="G1635">
        <v>-47</v>
      </c>
      <c r="H1635">
        <v>-48</v>
      </c>
      <c r="I1635">
        <v>-49</v>
      </c>
    </row>
    <row r="1636" spans="3:9" ht="15.6" x14ac:dyDescent="0.3">
      <c r="C1636" s="67" t="s">
        <v>724</v>
      </c>
      <c r="E1636" s="46">
        <f>SUM(E1634:E1635)</f>
        <v>855</v>
      </c>
      <c r="F1636" s="46">
        <f>SUM(F1634:F1635)</f>
        <v>900</v>
      </c>
      <c r="G1636" s="46">
        <f>SUM(G1634:G1635)</f>
        <v>949</v>
      </c>
      <c r="H1636" s="46">
        <f>SUM(H1634:H1635)</f>
        <v>1042</v>
      </c>
      <c r="I1636" s="46">
        <f>SUM(I1634:I1635)</f>
        <v>1187</v>
      </c>
    </row>
    <row r="1637" spans="3:9" ht="15.6" x14ac:dyDescent="0.3">
      <c r="C1637" s="67" t="s">
        <v>725</v>
      </c>
      <c r="E1637">
        <v>-32</v>
      </c>
      <c r="F1637">
        <v>-25</v>
      </c>
      <c r="G1637">
        <v>-31</v>
      </c>
      <c r="H1637">
        <v>-31</v>
      </c>
      <c r="I1637">
        <v>-29</v>
      </c>
    </row>
    <row r="1638" spans="3:9" ht="15.6" x14ac:dyDescent="0.3">
      <c r="C1638" s="67" t="s">
        <v>319</v>
      </c>
      <c r="E1638" s="47">
        <f>E1636+E1637</f>
        <v>823</v>
      </c>
      <c r="F1638" s="47">
        <f>F1636+F1637</f>
        <v>875</v>
      </c>
      <c r="G1638" s="47">
        <f>G1636+G1637</f>
        <v>918</v>
      </c>
      <c r="H1638" s="47">
        <f>H1636+H1637</f>
        <v>1011</v>
      </c>
      <c r="I1638" s="47">
        <f>I1636+I1637</f>
        <v>1158</v>
      </c>
    </row>
    <row r="1639" spans="3:9" ht="15.6" x14ac:dyDescent="0.3">
      <c r="C1639" s="67"/>
      <c r="E1639" s="2"/>
      <c r="F1639" s="2"/>
      <c r="G1639" s="2"/>
      <c r="H1639" s="2"/>
      <c r="I1639" s="2"/>
    </row>
    <row r="1640" spans="3:9" ht="15.6" x14ac:dyDescent="0.3">
      <c r="C1640" s="67" t="s">
        <v>756</v>
      </c>
      <c r="E1640">
        <f>-(E1635+E1637)</f>
        <v>82</v>
      </c>
      <c r="F1640">
        <f>-(F1635+F1637)</f>
        <v>72</v>
      </c>
      <c r="G1640">
        <f>-(G1635+G1637)</f>
        <v>78</v>
      </c>
      <c r="H1640">
        <f>-(H1635+H1637)</f>
        <v>79</v>
      </c>
      <c r="I1640">
        <f>-(I1635+I1637)</f>
        <v>78</v>
      </c>
    </row>
    <row r="1641" spans="3:9" ht="15.6" x14ac:dyDescent="0.3">
      <c r="C1641" s="67" t="s">
        <v>777</v>
      </c>
      <c r="E1641">
        <v>32</v>
      </c>
    </row>
    <row r="1642" spans="3:9" ht="15.6" x14ac:dyDescent="0.3">
      <c r="C1642" s="67" t="s">
        <v>723</v>
      </c>
      <c r="E1642">
        <v>50</v>
      </c>
    </row>
    <row r="1643" spans="3:9" ht="15.6" x14ac:dyDescent="0.3">
      <c r="C1643" s="67"/>
    </row>
    <row r="1644" spans="3:9" ht="15.6" x14ac:dyDescent="0.3">
      <c r="C1644" s="67" t="s">
        <v>757</v>
      </c>
      <c r="F1644">
        <v>870</v>
      </c>
      <c r="G1644">
        <v>908</v>
      </c>
    </row>
    <row r="1645" spans="3:9" ht="15.6" x14ac:dyDescent="0.3">
      <c r="C1645" s="39" t="s">
        <v>736</v>
      </c>
    </row>
    <row r="1646" spans="3:9" ht="15.6" x14ac:dyDescent="0.3">
      <c r="C1646" s="67" t="s">
        <v>739</v>
      </c>
      <c r="H1646">
        <v>10</v>
      </c>
      <c r="I1646">
        <v>20</v>
      </c>
    </row>
    <row r="1647" spans="3:9" ht="15.6" x14ac:dyDescent="0.3">
      <c r="C1647" s="67" t="s">
        <v>737</v>
      </c>
      <c r="I1647">
        <v>-8</v>
      </c>
    </row>
    <row r="1648" spans="3:9" ht="15.6" x14ac:dyDescent="0.3">
      <c r="C1648" s="67" t="s">
        <v>738</v>
      </c>
      <c r="H1648">
        <v>-13</v>
      </c>
      <c r="I1648">
        <v>-6</v>
      </c>
    </row>
    <row r="1649" spans="3:9" ht="15.6" x14ac:dyDescent="0.3">
      <c r="C1649" s="67" t="s">
        <v>740</v>
      </c>
      <c r="H1649">
        <v>2</v>
      </c>
      <c r="I1649">
        <v>-3</v>
      </c>
    </row>
    <row r="1650" spans="3:9" ht="15.6" x14ac:dyDescent="0.3">
      <c r="C1650" s="67"/>
      <c r="E1650" s="47">
        <f>SUM(E1646:E1649)</f>
        <v>0</v>
      </c>
      <c r="F1650" s="47">
        <f>SUM(F1646:F1649)</f>
        <v>0</v>
      </c>
      <c r="G1650" s="47">
        <f>SUM(G1646:G1649)</f>
        <v>0</v>
      </c>
      <c r="H1650" s="47">
        <f>SUM(H1646:H1649)</f>
        <v>-1</v>
      </c>
      <c r="I1650" s="47">
        <f>SUM(I1646:I1649)</f>
        <v>3</v>
      </c>
    </row>
    <row r="1651" spans="3:9" ht="15.6" x14ac:dyDescent="0.3">
      <c r="C1651" s="67"/>
      <c r="E1651" s="2"/>
      <c r="F1651" s="2"/>
      <c r="G1651" s="2"/>
      <c r="H1651" s="2"/>
      <c r="I1651" s="2"/>
    </row>
    <row r="1652" spans="3:9" ht="23.4" x14ac:dyDescent="0.45">
      <c r="C1652" s="87" t="s">
        <v>734</v>
      </c>
      <c r="E1652">
        <v>4862</v>
      </c>
      <c r="F1652">
        <v>5516</v>
      </c>
      <c r="G1652">
        <v>5842</v>
      </c>
      <c r="H1652">
        <v>6321</v>
      </c>
      <c r="I1652">
        <v>7004</v>
      </c>
    </row>
    <row r="1653" spans="3:9" ht="18" x14ac:dyDescent="0.35">
      <c r="C1653" s="66" t="s">
        <v>368</v>
      </c>
      <c r="E1653">
        <v>905</v>
      </c>
      <c r="F1653">
        <v>947</v>
      </c>
      <c r="G1653">
        <v>996</v>
      </c>
      <c r="H1653">
        <v>1090</v>
      </c>
      <c r="I1653">
        <v>1236</v>
      </c>
    </row>
    <row r="1654" spans="3:9" x14ac:dyDescent="0.3">
      <c r="C1654" t="s">
        <v>723</v>
      </c>
      <c r="E1654">
        <v>-50</v>
      </c>
      <c r="F1654">
        <v>-47</v>
      </c>
      <c r="G1654">
        <v>-47</v>
      </c>
      <c r="H1654">
        <v>-48</v>
      </c>
      <c r="I1654">
        <v>-49</v>
      </c>
    </row>
    <row r="1655" spans="3:9" ht="15.6" x14ac:dyDescent="0.3">
      <c r="C1655" s="67" t="s">
        <v>724</v>
      </c>
      <c r="E1655" s="46">
        <f>SUM(E1653:E1654)</f>
        <v>855</v>
      </c>
      <c r="F1655" s="46">
        <f>SUM(F1653:F1654)</f>
        <v>900</v>
      </c>
      <c r="G1655" s="46">
        <f>SUM(G1653:G1654)</f>
        <v>949</v>
      </c>
      <c r="H1655" s="46">
        <f>SUM(H1653:H1654)</f>
        <v>1042</v>
      </c>
      <c r="I1655" s="46">
        <f>SUM(I1653:I1654)</f>
        <v>1187</v>
      </c>
    </row>
    <row r="1656" spans="3:9" ht="15.6" x14ac:dyDescent="0.3">
      <c r="C1656" s="67" t="s">
        <v>725</v>
      </c>
      <c r="E1656">
        <v>-32</v>
      </c>
      <c r="F1656">
        <v>-25</v>
      </c>
      <c r="G1656">
        <v>-31</v>
      </c>
      <c r="H1656">
        <v>-31</v>
      </c>
      <c r="I1656">
        <v>-29</v>
      </c>
    </row>
    <row r="1657" spans="3:9" ht="15.6" x14ac:dyDescent="0.3">
      <c r="C1657" s="67" t="s">
        <v>319</v>
      </c>
      <c r="E1657" s="47">
        <f>SUM(E1655:E1656)</f>
        <v>823</v>
      </c>
      <c r="F1657" s="47">
        <f>SUM(F1655:F1656)</f>
        <v>875</v>
      </c>
      <c r="G1657" s="47">
        <f>SUM(G1655:G1656)</f>
        <v>918</v>
      </c>
      <c r="H1657" s="47">
        <f>SUM(H1655:H1656)</f>
        <v>1011</v>
      </c>
      <c r="I1657" s="47">
        <f>SUM(I1655:I1656)</f>
        <v>1158</v>
      </c>
    </row>
    <row r="1658" spans="3:9" x14ac:dyDescent="0.3">
      <c r="C1658" t="s">
        <v>742</v>
      </c>
      <c r="E1658" s="2">
        <v>-146</v>
      </c>
      <c r="F1658" s="2">
        <v>-159</v>
      </c>
      <c r="G1658" s="2">
        <v>-216</v>
      </c>
      <c r="H1658" s="2">
        <v>-250</v>
      </c>
      <c r="I1658" s="2">
        <v>-288</v>
      </c>
    </row>
    <row r="1659" spans="3:9" ht="15.6" x14ac:dyDescent="0.3">
      <c r="C1659" s="67" t="s">
        <v>743</v>
      </c>
      <c r="E1659" s="47">
        <f>E1657+E1658</f>
        <v>677</v>
      </c>
      <c r="F1659" s="47">
        <f>F1657+F1658</f>
        <v>716</v>
      </c>
      <c r="G1659" s="47">
        <f>G1657+G1658</f>
        <v>702</v>
      </c>
      <c r="H1659" s="47">
        <f>H1657+H1658</f>
        <v>761</v>
      </c>
      <c r="I1659" s="47">
        <f>I1657+I1658</f>
        <v>870</v>
      </c>
    </row>
    <row r="1660" spans="3:9" ht="15.6" x14ac:dyDescent="0.3">
      <c r="C1660" s="67" t="s">
        <v>731</v>
      </c>
      <c r="E1660" s="2" t="s">
        <v>178</v>
      </c>
      <c r="F1660" s="2">
        <v>576.79999999999995</v>
      </c>
      <c r="G1660" s="2" t="s">
        <v>744</v>
      </c>
      <c r="H1660" s="2" t="s">
        <v>732</v>
      </c>
      <c r="I1660" s="2" t="s">
        <v>733</v>
      </c>
    </row>
    <row r="1661" spans="3:9" ht="15.6" x14ac:dyDescent="0.3">
      <c r="C1661" s="67"/>
      <c r="E1661" s="2"/>
      <c r="F1661" s="2"/>
      <c r="G1661" s="2"/>
      <c r="H1661" s="2"/>
      <c r="I1661" s="2"/>
    </row>
    <row r="1662" spans="3:9" ht="15.6" x14ac:dyDescent="0.3">
      <c r="C1662" s="67" t="s">
        <v>760</v>
      </c>
      <c r="E1662" s="2"/>
      <c r="F1662" s="2"/>
      <c r="G1662" s="2"/>
      <c r="H1662" s="2"/>
      <c r="I1662" s="2"/>
    </row>
    <row r="1663" spans="3:9" ht="15.6" x14ac:dyDescent="0.3">
      <c r="C1663" s="67" t="s">
        <v>759</v>
      </c>
      <c r="E1663" s="2"/>
      <c r="F1663" s="2"/>
      <c r="G1663" s="2">
        <v>109</v>
      </c>
      <c r="H1663" s="2"/>
      <c r="I1663" s="2"/>
    </row>
    <row r="1664" spans="3:9" ht="15.6" x14ac:dyDescent="0.3">
      <c r="C1664" s="67"/>
      <c r="E1664" s="2"/>
      <c r="F1664" s="2"/>
      <c r="G1664" s="2"/>
      <c r="H1664" s="2"/>
      <c r="I1664" s="2"/>
    </row>
    <row r="1665" spans="3:10" ht="15.6" x14ac:dyDescent="0.3">
      <c r="C1665" s="67"/>
      <c r="E1665" s="2"/>
      <c r="F1665" s="2"/>
      <c r="G1665" s="2"/>
      <c r="H1665" s="2"/>
      <c r="I1665" s="2"/>
    </row>
    <row r="1666" spans="3:10" x14ac:dyDescent="0.3">
      <c r="C1666" t="s">
        <v>726</v>
      </c>
      <c r="G1666" t="s">
        <v>745</v>
      </c>
      <c r="H1666" t="s">
        <v>730</v>
      </c>
      <c r="I1666" t="s">
        <v>729</v>
      </c>
    </row>
    <row r="1667" spans="3:10" x14ac:dyDescent="0.3">
      <c r="C1667" t="s">
        <v>727</v>
      </c>
      <c r="I1667" t="s">
        <v>728</v>
      </c>
    </row>
    <row r="1668" spans="3:10" ht="15.6" x14ac:dyDescent="0.3">
      <c r="C1668" s="67" t="s">
        <v>758</v>
      </c>
      <c r="E1668" s="2"/>
      <c r="F1668" s="2">
        <v>140</v>
      </c>
      <c r="G1668" s="2">
        <v>141</v>
      </c>
      <c r="H1668" s="2"/>
      <c r="I1668" s="2"/>
    </row>
    <row r="1670" spans="3:10" x14ac:dyDescent="0.3">
      <c r="C1670" t="s">
        <v>741</v>
      </c>
      <c r="E1670" s="10">
        <f>-E1658/E1657</f>
        <v>0.17739975698663427</v>
      </c>
      <c r="F1670" s="10">
        <f>-F1658/F1657</f>
        <v>0.18171428571428572</v>
      </c>
      <c r="G1670" s="10">
        <f>-G1658/G1657</f>
        <v>0.23529411764705882</v>
      </c>
      <c r="H1670" s="10">
        <f>-H1658/H1657</f>
        <v>0.24727992087042533</v>
      </c>
    </row>
    <row r="1671" spans="3:10" x14ac:dyDescent="0.3">
      <c r="G1671" s="10"/>
      <c r="H1671" s="10"/>
    </row>
    <row r="1672" spans="3:10" ht="23.4" x14ac:dyDescent="0.45">
      <c r="C1672" s="63"/>
    </row>
    <row r="1675" spans="3:10" x14ac:dyDescent="0.3">
      <c r="C1675" t="s">
        <v>671</v>
      </c>
      <c r="E1675" s="11">
        <v>0.22</v>
      </c>
      <c r="F1675" s="11">
        <v>0.24</v>
      </c>
      <c r="G1675" s="11">
        <v>0.18</v>
      </c>
      <c r="H1675" s="11">
        <v>0.15</v>
      </c>
      <c r="I1675" s="11">
        <v>0.15</v>
      </c>
      <c r="J1675" s="10">
        <v>0.19600000000000001</v>
      </c>
    </row>
    <row r="1676" spans="3:10" x14ac:dyDescent="0.3">
      <c r="E1676" s="11"/>
      <c r="F1676" s="11"/>
      <c r="G1676" s="11"/>
      <c r="H1676" s="11"/>
      <c r="I1676" s="11"/>
      <c r="J1676" s="10"/>
    </row>
    <row r="1677" spans="3:10" x14ac:dyDescent="0.3">
      <c r="E1677" s="11"/>
      <c r="F1677" s="11"/>
      <c r="G1677" s="11"/>
      <c r="H1677" s="11"/>
      <c r="I1677" s="11"/>
      <c r="J1677" s="10"/>
    </row>
    <row r="1678" spans="3:10" x14ac:dyDescent="0.3">
      <c r="C1678" s="2" t="s">
        <v>747</v>
      </c>
      <c r="E1678">
        <v>823</v>
      </c>
      <c r="F1678">
        <v>875</v>
      </c>
      <c r="G1678">
        <v>918</v>
      </c>
      <c r="H1678">
        <v>1011</v>
      </c>
      <c r="I1678">
        <v>1158</v>
      </c>
      <c r="J1678" s="10"/>
    </row>
    <row r="1679" spans="3:10" x14ac:dyDescent="0.3">
      <c r="C1679" t="s">
        <v>748</v>
      </c>
      <c r="E1679" s="11"/>
      <c r="F1679" s="11"/>
      <c r="G1679" s="11"/>
      <c r="H1679" s="11"/>
      <c r="I1679">
        <v>24</v>
      </c>
      <c r="J1679" s="10"/>
    </row>
    <row r="1680" spans="3:10" x14ac:dyDescent="0.3">
      <c r="C1680" t="s">
        <v>656</v>
      </c>
      <c r="E1680">
        <v>111</v>
      </c>
      <c r="F1680">
        <v>110</v>
      </c>
      <c r="G1680">
        <v>128</v>
      </c>
      <c r="H1680">
        <v>148</v>
      </c>
      <c r="I1680">
        <v>153</v>
      </c>
    </row>
    <row r="1681" spans="3:12" x14ac:dyDescent="0.3">
      <c r="C1681" t="s">
        <v>657</v>
      </c>
      <c r="E1681">
        <v>-184</v>
      </c>
      <c r="F1681">
        <v>-206</v>
      </c>
      <c r="G1681">
        <v>-167</v>
      </c>
      <c r="H1681">
        <v>-151</v>
      </c>
      <c r="I1681">
        <v>-168</v>
      </c>
      <c r="J1681">
        <v>237</v>
      </c>
      <c r="K1681">
        <v>245</v>
      </c>
      <c r="L1681">
        <v>220</v>
      </c>
    </row>
    <row r="1682" spans="3:12" x14ac:dyDescent="0.3">
      <c r="C1682" t="s">
        <v>672</v>
      </c>
      <c r="E1682">
        <v>-183</v>
      </c>
      <c r="F1682">
        <v>-268</v>
      </c>
      <c r="G1682">
        <v>-4</v>
      </c>
      <c r="H1682">
        <v>-97</v>
      </c>
      <c r="I1682">
        <v>-143</v>
      </c>
    </row>
    <row r="1683" spans="3:12" x14ac:dyDescent="0.3">
      <c r="C1683" t="s">
        <v>742</v>
      </c>
    </row>
    <row r="1684" spans="3:12" x14ac:dyDescent="0.3">
      <c r="C1684" t="s">
        <v>674</v>
      </c>
      <c r="E1684">
        <v>-125</v>
      </c>
      <c r="F1684">
        <v>-151</v>
      </c>
      <c r="G1684">
        <v>-191</v>
      </c>
      <c r="H1684">
        <v>-243</v>
      </c>
      <c r="I1684">
        <v>-233</v>
      </c>
    </row>
    <row r="1685" spans="3:12" x14ac:dyDescent="0.3">
      <c r="C1685" t="s">
        <v>673</v>
      </c>
      <c r="F1685">
        <v>-91</v>
      </c>
      <c r="G1685">
        <v>-161</v>
      </c>
      <c r="H1685">
        <v>-11</v>
      </c>
      <c r="I1685">
        <v>-6</v>
      </c>
    </row>
    <row r="1686" spans="3:12" x14ac:dyDescent="0.3">
      <c r="C1686" t="s">
        <v>762</v>
      </c>
      <c r="E1686">
        <v>-79</v>
      </c>
    </row>
    <row r="1687" spans="3:12" x14ac:dyDescent="0.3">
      <c r="C1687" s="2" t="s">
        <v>746</v>
      </c>
      <c r="E1687" s="47">
        <f>SUM(E1678:E1686)</f>
        <v>363</v>
      </c>
      <c r="F1687" s="47">
        <f>SUM(F1678:F1685)</f>
        <v>269</v>
      </c>
      <c r="G1687" s="47">
        <f>SUM(G1678:G1685)</f>
        <v>523</v>
      </c>
      <c r="H1687" s="47">
        <f>SUM(H1678:H1685)</f>
        <v>657</v>
      </c>
      <c r="I1687" s="47">
        <f>SUM(I1678:I1685)</f>
        <v>785</v>
      </c>
    </row>
    <row r="1688" spans="3:12" x14ac:dyDescent="0.3">
      <c r="C1688" t="s">
        <v>675</v>
      </c>
      <c r="F1688">
        <v>-237</v>
      </c>
      <c r="G1688">
        <v>-248</v>
      </c>
      <c r="H1688">
        <v>-258</v>
      </c>
      <c r="I1688">
        <v>-708</v>
      </c>
    </row>
    <row r="1689" spans="3:12" x14ac:dyDescent="0.3">
      <c r="C1689" t="s">
        <v>676</v>
      </c>
      <c r="E1689">
        <v>-353</v>
      </c>
      <c r="F1689">
        <v>-228</v>
      </c>
      <c r="G1689">
        <v>-177</v>
      </c>
      <c r="H1689">
        <v>-360</v>
      </c>
      <c r="I1689">
        <v>-131</v>
      </c>
    </row>
    <row r="1690" spans="3:12" x14ac:dyDescent="0.3">
      <c r="C1690" t="s">
        <v>749</v>
      </c>
      <c r="E1690" s="47">
        <f>-SUM(E1688:E1689)</f>
        <v>353</v>
      </c>
      <c r="F1690" s="47">
        <f>-SUM(F1688:F1689)</f>
        <v>465</v>
      </c>
      <c r="G1690" s="47">
        <f>-SUM(G1688:G1689)</f>
        <v>425</v>
      </c>
      <c r="H1690" s="47">
        <f>-SUM(H1688:H1689)</f>
        <v>618</v>
      </c>
      <c r="I1690" s="47">
        <f>-SUM(I1688:I1689)</f>
        <v>839</v>
      </c>
    </row>
    <row r="1692" spans="3:12" x14ac:dyDescent="0.3">
      <c r="C1692" s="2" t="s">
        <v>750</v>
      </c>
      <c r="E1692">
        <f>E1687-E1690</f>
        <v>10</v>
      </c>
      <c r="F1692">
        <f>F1687-F1690</f>
        <v>-196</v>
      </c>
      <c r="G1692">
        <f>G1687-G1690</f>
        <v>98</v>
      </c>
      <c r="H1692">
        <f>H1687-H1690</f>
        <v>39</v>
      </c>
      <c r="I1692">
        <f>I1687-I1690</f>
        <v>-54</v>
      </c>
    </row>
    <row r="1693" spans="3:12" x14ac:dyDescent="0.3">
      <c r="C1693" s="2"/>
    </row>
    <row r="1694" spans="3:12" x14ac:dyDescent="0.3">
      <c r="C1694" s="2"/>
    </row>
    <row r="1696" spans="3:12" x14ac:dyDescent="0.3">
      <c r="C1696" t="s">
        <v>382</v>
      </c>
    </row>
    <row r="1698" spans="3:9" x14ac:dyDescent="0.3">
      <c r="C1698" s="2" t="s">
        <v>368</v>
      </c>
    </row>
    <row r="1699" spans="3:9" x14ac:dyDescent="0.3">
      <c r="C1699" t="s">
        <v>370</v>
      </c>
      <c r="E1699">
        <v>103.7</v>
      </c>
      <c r="F1699">
        <v>100.5</v>
      </c>
      <c r="G1699">
        <v>94.9</v>
      </c>
      <c r="H1699">
        <v>114.5</v>
      </c>
      <c r="I1699">
        <v>116.8</v>
      </c>
    </row>
    <row r="1700" spans="3:9" x14ac:dyDescent="0.3">
      <c r="C1700" t="s">
        <v>371</v>
      </c>
      <c r="E1700">
        <v>113.8</v>
      </c>
      <c r="F1700">
        <v>107.6</v>
      </c>
      <c r="G1700">
        <v>117.7</v>
      </c>
      <c r="H1700">
        <v>144.6</v>
      </c>
      <c r="I1700">
        <v>153.69999999999999</v>
      </c>
    </row>
    <row r="1701" spans="3:9" x14ac:dyDescent="0.3">
      <c r="C1701" t="s">
        <v>372</v>
      </c>
      <c r="E1701">
        <v>3.1</v>
      </c>
      <c r="F1701">
        <v>0.5</v>
      </c>
      <c r="G1701">
        <v>0.7</v>
      </c>
      <c r="I1701">
        <v>2.1</v>
      </c>
    </row>
    <row r="1702" spans="3:9" x14ac:dyDescent="0.3">
      <c r="C1702" t="s">
        <v>373</v>
      </c>
      <c r="E1702">
        <v>-13.4</v>
      </c>
      <c r="F1702">
        <v>-17.7</v>
      </c>
      <c r="G1702">
        <v>-1.6</v>
      </c>
      <c r="I1702">
        <v>-16.3</v>
      </c>
    </row>
    <row r="1703" spans="3:9" x14ac:dyDescent="0.3">
      <c r="C1703" t="s">
        <v>383</v>
      </c>
      <c r="E1703">
        <v>-3.1</v>
      </c>
      <c r="F1703">
        <v>-2.7</v>
      </c>
      <c r="G1703">
        <v>1.7</v>
      </c>
      <c r="H1703">
        <v>3.4</v>
      </c>
      <c r="I1703">
        <v>0.3</v>
      </c>
    </row>
    <row r="1704" spans="3:9" x14ac:dyDescent="0.3">
      <c r="C1704" t="s">
        <v>384</v>
      </c>
      <c r="E1704">
        <v>-1.2</v>
      </c>
      <c r="F1704">
        <v>-34.9</v>
      </c>
      <c r="G1704">
        <v>-5.9</v>
      </c>
      <c r="H1704">
        <v>-1.7</v>
      </c>
      <c r="I1704">
        <v>3.8</v>
      </c>
    </row>
    <row r="1705" spans="3:9" x14ac:dyDescent="0.3">
      <c r="C1705" t="s">
        <v>379</v>
      </c>
      <c r="G1705">
        <v>8.3000000000000007</v>
      </c>
      <c r="H1705">
        <v>22.6</v>
      </c>
      <c r="I1705">
        <v>22.8</v>
      </c>
    </row>
    <row r="1706" spans="3:9" x14ac:dyDescent="0.3">
      <c r="C1706" t="s">
        <v>380</v>
      </c>
      <c r="G1706">
        <v>30.1</v>
      </c>
      <c r="H1706">
        <v>32.6</v>
      </c>
      <c r="I1706">
        <v>36.299999999999997</v>
      </c>
    </row>
    <row r="1707" spans="3:9" x14ac:dyDescent="0.3">
      <c r="C1707" t="s">
        <v>227</v>
      </c>
      <c r="E1707">
        <v>4.3</v>
      </c>
      <c r="F1707">
        <v>12.5</v>
      </c>
    </row>
    <row r="1708" spans="3:9" x14ac:dyDescent="0.3">
      <c r="C1708" t="s">
        <v>374</v>
      </c>
      <c r="E1708">
        <v>-3.8</v>
      </c>
      <c r="F1708">
        <v>-1.4</v>
      </c>
      <c r="G1708">
        <v>-2.5</v>
      </c>
      <c r="H1708">
        <v>-5</v>
      </c>
      <c r="I1708">
        <v>-1</v>
      </c>
    </row>
    <row r="1709" spans="3:9" x14ac:dyDescent="0.3">
      <c r="C1709" t="s">
        <v>381</v>
      </c>
      <c r="E1709">
        <v>-2.5</v>
      </c>
      <c r="F1709">
        <v>16.3</v>
      </c>
      <c r="G1709">
        <v>-12.3</v>
      </c>
      <c r="H1709">
        <v>-3.4</v>
      </c>
      <c r="I1709">
        <v>3.4</v>
      </c>
    </row>
    <row r="1710" spans="3:9" x14ac:dyDescent="0.3">
      <c r="C1710" t="s">
        <v>375</v>
      </c>
      <c r="E1710">
        <v>4.0999999999999996</v>
      </c>
      <c r="F1710">
        <v>26.9</v>
      </c>
    </row>
    <row r="1711" spans="3:9" x14ac:dyDescent="0.3">
      <c r="C1711" t="s">
        <v>376</v>
      </c>
      <c r="E1711">
        <v>-16.2</v>
      </c>
    </row>
    <row r="1713" spans="3:9" x14ac:dyDescent="0.3">
      <c r="C1713" t="s">
        <v>377</v>
      </c>
      <c r="E1713">
        <v>1674.6</v>
      </c>
      <c r="F1713">
        <v>1785.4</v>
      </c>
      <c r="G1713">
        <v>1809.2</v>
      </c>
      <c r="H1713">
        <v>1909.3</v>
      </c>
      <c r="I1713">
        <v>2123.6</v>
      </c>
    </row>
    <row r="1714" spans="3:9" x14ac:dyDescent="0.3">
      <c r="C1714" t="s">
        <v>378</v>
      </c>
      <c r="E1714">
        <v>102.4</v>
      </c>
      <c r="F1714">
        <v>152.4</v>
      </c>
      <c r="G1714">
        <v>125.8</v>
      </c>
      <c r="H1714">
        <v>153.4</v>
      </c>
      <c r="I1714">
        <v>162.1</v>
      </c>
    </row>
    <row r="1716" spans="3:9" x14ac:dyDescent="0.3">
      <c r="C1716" s="2" t="s">
        <v>447</v>
      </c>
    </row>
    <row r="1717" spans="3:9" x14ac:dyDescent="0.3">
      <c r="C1717" t="s">
        <v>281</v>
      </c>
      <c r="E1717">
        <f>E2184</f>
        <v>0.1</v>
      </c>
      <c r="F1717">
        <f>F2184</f>
        <v>0.4</v>
      </c>
      <c r="G1717">
        <f>G2184</f>
        <v>8.1999999999999993</v>
      </c>
      <c r="H1717">
        <f>H2184</f>
        <v>22.6</v>
      </c>
      <c r="I1717">
        <f>I2184</f>
        <v>22.8</v>
      </c>
    </row>
    <row r="1718" spans="3:9" x14ac:dyDescent="0.3">
      <c r="C1718" t="s">
        <v>446</v>
      </c>
      <c r="E1718">
        <f>E2204</f>
        <v>0.2</v>
      </c>
      <c r="F1718">
        <f>F2204</f>
        <v>0</v>
      </c>
      <c r="G1718">
        <f>G2204</f>
        <v>0</v>
      </c>
      <c r="H1718">
        <f>H2204</f>
        <v>0</v>
      </c>
      <c r="I1718">
        <f>I2204</f>
        <v>0</v>
      </c>
    </row>
    <row r="1719" spans="3:9" x14ac:dyDescent="0.3">
      <c r="C1719" t="s">
        <v>113</v>
      </c>
      <c r="E1719" s="2">
        <f>E1717+E1718</f>
        <v>0.30000000000000004</v>
      </c>
      <c r="F1719" s="2">
        <f>F1717+F1718</f>
        <v>0.4</v>
      </c>
      <c r="G1719" s="2">
        <f>G1717+G1718</f>
        <v>8.1999999999999993</v>
      </c>
      <c r="H1719" s="2">
        <f>H1717+H1718</f>
        <v>22.6</v>
      </c>
      <c r="I1719" s="2">
        <f>I1717+I1718</f>
        <v>22.8</v>
      </c>
    </row>
    <row r="1721" spans="3:9" x14ac:dyDescent="0.3">
      <c r="C1721" s="2" t="s">
        <v>284</v>
      </c>
    </row>
    <row r="1722" spans="3:9" x14ac:dyDescent="0.3">
      <c r="C1722" t="s">
        <v>281</v>
      </c>
      <c r="E1722">
        <f>E2185</f>
        <v>3.1</v>
      </c>
      <c r="F1722">
        <f>F2185</f>
        <v>11.5</v>
      </c>
      <c r="G1722">
        <f>G2185</f>
        <v>28</v>
      </c>
      <c r="H1722">
        <f>H2185</f>
        <v>29.8</v>
      </c>
      <c r="I1722">
        <f>I2185</f>
        <v>32</v>
      </c>
    </row>
    <row r="1723" spans="3:9" x14ac:dyDescent="0.3">
      <c r="C1723" t="s">
        <v>446</v>
      </c>
      <c r="E1723">
        <f>E2205</f>
        <v>0.5</v>
      </c>
      <c r="F1723">
        <f>F2205</f>
        <v>0.6</v>
      </c>
      <c r="G1723">
        <f>G2205</f>
        <v>1.3</v>
      </c>
      <c r="H1723">
        <f>H2205</f>
        <v>0</v>
      </c>
      <c r="I1723">
        <f>I2205</f>
        <v>3.8</v>
      </c>
    </row>
    <row r="1724" spans="3:9" x14ac:dyDescent="0.3">
      <c r="C1724" t="s">
        <v>113</v>
      </c>
      <c r="E1724" s="2">
        <f>E1722+E1723</f>
        <v>3.6</v>
      </c>
      <c r="F1724" s="2">
        <f>F1722+F1723</f>
        <v>12.1</v>
      </c>
      <c r="G1724" s="2">
        <f>G1722+G1723</f>
        <v>29.3</v>
      </c>
      <c r="H1724" s="2">
        <f>H1722+H1723</f>
        <v>29.8</v>
      </c>
      <c r="I1724" s="2">
        <f>I1722+I1723</f>
        <v>35.799999999999997</v>
      </c>
    </row>
    <row r="1725" spans="3:9" x14ac:dyDescent="0.3">
      <c r="E1725" s="2"/>
      <c r="F1725" s="2"/>
      <c r="G1725" s="2"/>
      <c r="H1725" s="2"/>
      <c r="I1725" s="2"/>
    </row>
    <row r="1726" spans="3:9" x14ac:dyDescent="0.3">
      <c r="C1726" s="2" t="s">
        <v>448</v>
      </c>
      <c r="E1726" s="2">
        <f>E1719+E1724</f>
        <v>3.9000000000000004</v>
      </c>
      <c r="F1726" s="2">
        <f>F1719+F1724</f>
        <v>12.5</v>
      </c>
      <c r="G1726" s="2">
        <f>G1719+G1724</f>
        <v>37.5</v>
      </c>
      <c r="H1726" s="2">
        <f>H1719+H1724</f>
        <v>52.400000000000006</v>
      </c>
      <c r="I1726" s="2">
        <f>I1719+I1724</f>
        <v>58.599999999999994</v>
      </c>
    </row>
    <row r="1727" spans="3:9" x14ac:dyDescent="0.3">
      <c r="C1727" t="s">
        <v>449</v>
      </c>
      <c r="E1727" s="2">
        <f>E1707-E1726</f>
        <v>0.39999999999999947</v>
      </c>
      <c r="F1727" s="2">
        <f>F1707-F1726</f>
        <v>0</v>
      </c>
      <c r="G1727" s="2">
        <f>G1705+G1706-G1726</f>
        <v>0.90000000000000568</v>
      </c>
      <c r="H1727" s="2">
        <f>H1705+H1706-H1726</f>
        <v>2.7999999999999972</v>
      </c>
      <c r="I1727" s="2">
        <f>I1705+I1706-I1726</f>
        <v>0.5</v>
      </c>
    </row>
    <row r="1730" spans="3:9" x14ac:dyDescent="0.3">
      <c r="C1730" s="2" t="s">
        <v>445</v>
      </c>
    </row>
    <row r="1731" spans="3:9" x14ac:dyDescent="0.3">
      <c r="C1731" t="s">
        <v>279</v>
      </c>
      <c r="E1731">
        <f>E1699+E1700</f>
        <v>217.5</v>
      </c>
      <c r="F1731">
        <f>F1699+F1700</f>
        <v>208.1</v>
      </c>
      <c r="G1731">
        <f>G1699+G1700</f>
        <v>212.60000000000002</v>
      </c>
      <c r="H1731">
        <f>H1699+H1700</f>
        <v>259.10000000000002</v>
      </c>
      <c r="I1731">
        <f>I1699+I1700</f>
        <v>270.5</v>
      </c>
    </row>
    <row r="1734" spans="3:9" x14ac:dyDescent="0.3">
      <c r="C1734" s="2" t="str">
        <f>'HISTORICAL FS'!C21</f>
        <v>Impairment in associates and joint ventures</v>
      </c>
    </row>
    <row r="1735" spans="3:9" x14ac:dyDescent="0.3">
      <c r="C1735" t="s">
        <v>298</v>
      </c>
      <c r="H1735">
        <f>I1735</f>
        <v>2.9</v>
      </c>
      <c r="I1735">
        <f>-'HISTORICAL FS'!I21</f>
        <v>2.9</v>
      </c>
    </row>
    <row r="1736" spans="3:9" x14ac:dyDescent="0.3">
      <c r="C1736" t="s">
        <v>299</v>
      </c>
      <c r="H1736">
        <f>-'HISTORICAL FS'!H21-H1735</f>
        <v>10.1</v>
      </c>
    </row>
    <row r="1744" spans="3:9" x14ac:dyDescent="0.3">
      <c r="C1744" t="s">
        <v>282</v>
      </c>
    </row>
    <row r="1745" spans="3:9" x14ac:dyDescent="0.3">
      <c r="C1745" t="s">
        <v>328</v>
      </c>
    </row>
    <row r="1746" spans="3:9" x14ac:dyDescent="0.3">
      <c r="C1746" s="2" t="s">
        <v>329</v>
      </c>
    </row>
    <row r="1747" spans="3:9" x14ac:dyDescent="0.3">
      <c r="C1747" t="s">
        <v>330</v>
      </c>
    </row>
    <row r="1748" spans="3:9" x14ac:dyDescent="0.3">
      <c r="C1748" s="2" t="s">
        <v>113</v>
      </c>
    </row>
    <row r="1749" spans="3:9" x14ac:dyDescent="0.3">
      <c r="C1749" s="2"/>
      <c r="E1749" s="2"/>
      <c r="H1749" s="2"/>
    </row>
    <row r="1750" spans="3:9" x14ac:dyDescent="0.3">
      <c r="C1750" s="2"/>
      <c r="E1750" s="2"/>
      <c r="H1750" s="2"/>
    </row>
    <row r="1751" spans="3:9" x14ac:dyDescent="0.3">
      <c r="C1751" s="2"/>
      <c r="E1751" s="2"/>
      <c r="F1751" s="2"/>
      <c r="G1751" s="2"/>
      <c r="H1751" s="2"/>
      <c r="I1751" s="2"/>
    </row>
    <row r="1752" spans="3:9" ht="23.4" x14ac:dyDescent="0.45">
      <c r="C1752" s="63" t="s">
        <v>136</v>
      </c>
      <c r="E1752" s="2">
        <f>E1757+E1766</f>
        <v>221</v>
      </c>
      <c r="F1752" s="2">
        <f>F1757+F1766</f>
        <v>220.29999999999998</v>
      </c>
      <c r="G1752" s="2">
        <f>G1757+G1766</f>
        <v>249.7</v>
      </c>
      <c r="H1752" s="2">
        <f>H1757+H1766</f>
        <v>312</v>
      </c>
      <c r="I1752" s="2">
        <f>I1757+I1766</f>
        <v>325.3</v>
      </c>
    </row>
    <row r="1753" spans="3:9" ht="15.6" x14ac:dyDescent="0.3">
      <c r="C1753" s="39"/>
      <c r="E1753" s="2"/>
      <c r="F1753" s="2"/>
      <c r="G1753" s="2"/>
      <c r="H1753" s="2"/>
      <c r="I1753" s="2"/>
    </row>
    <row r="1754" spans="3:9" x14ac:dyDescent="0.3">
      <c r="C1754" s="2" t="s">
        <v>279</v>
      </c>
    </row>
    <row r="1755" spans="3:9" x14ac:dyDescent="0.3">
      <c r="C1755" t="s">
        <v>340</v>
      </c>
      <c r="E1755">
        <f t="shared" ref="E1755:I1756" si="11">E2142</f>
        <v>103.69999999999999</v>
      </c>
      <c r="F1755">
        <f t="shared" si="11"/>
        <v>100.5</v>
      </c>
      <c r="G1755">
        <f t="shared" si="11"/>
        <v>94.899999999999991</v>
      </c>
      <c r="H1755">
        <f t="shared" si="11"/>
        <v>114.5</v>
      </c>
      <c r="I1755">
        <f t="shared" si="11"/>
        <v>116.8</v>
      </c>
    </row>
    <row r="1756" spans="3:9" x14ac:dyDescent="0.3">
      <c r="C1756" t="s">
        <v>280</v>
      </c>
      <c r="E1756">
        <f t="shared" si="11"/>
        <v>113.8</v>
      </c>
      <c r="F1756">
        <f t="shared" si="11"/>
        <v>107.6</v>
      </c>
      <c r="G1756">
        <f t="shared" si="11"/>
        <v>117.7</v>
      </c>
      <c r="H1756">
        <f t="shared" si="11"/>
        <v>144.6</v>
      </c>
      <c r="I1756">
        <f t="shared" si="11"/>
        <v>153.69999999999999</v>
      </c>
    </row>
    <row r="1757" spans="3:9" x14ac:dyDescent="0.3">
      <c r="C1757" s="2" t="s">
        <v>113</v>
      </c>
      <c r="E1757" s="2">
        <f>SUM(E1755:E1756)</f>
        <v>217.5</v>
      </c>
      <c r="F1757" s="2">
        <f>SUM(F1755:F1756)</f>
        <v>208.1</v>
      </c>
      <c r="G1757" s="2">
        <f>SUM(G1755:G1756)</f>
        <v>212.6</v>
      </c>
      <c r="H1757" s="2">
        <f>SUM(H1755:H1756)</f>
        <v>259.10000000000002</v>
      </c>
      <c r="I1757" s="2">
        <f>SUM(I1755:I1756)</f>
        <v>270.5</v>
      </c>
    </row>
    <row r="1758" spans="3:9" ht="21" x14ac:dyDescent="0.4">
      <c r="C1758" s="54"/>
    </row>
    <row r="1759" spans="3:9" x14ac:dyDescent="0.3">
      <c r="C1759" s="2" t="s">
        <v>281</v>
      </c>
    </row>
    <row r="1760" spans="3:9" x14ac:dyDescent="0.3">
      <c r="C1760" t="s">
        <v>282</v>
      </c>
      <c r="E1760">
        <f t="shared" ref="E1760:I1761" si="12">E2182</f>
        <v>0.1</v>
      </c>
      <c r="F1760">
        <f t="shared" si="12"/>
        <v>0.4</v>
      </c>
      <c r="G1760">
        <f t="shared" si="12"/>
        <v>7.6</v>
      </c>
      <c r="H1760">
        <f t="shared" si="12"/>
        <v>20.5</v>
      </c>
      <c r="I1760">
        <f t="shared" si="12"/>
        <v>20.8</v>
      </c>
    </row>
    <row r="1761" spans="3:9" x14ac:dyDescent="0.3">
      <c r="C1761" t="s">
        <v>283</v>
      </c>
      <c r="E1761">
        <f t="shared" si="12"/>
        <v>0</v>
      </c>
      <c r="F1761">
        <f t="shared" si="12"/>
        <v>0</v>
      </c>
      <c r="G1761">
        <f t="shared" si="12"/>
        <v>0.6</v>
      </c>
      <c r="H1761">
        <f t="shared" si="12"/>
        <v>2.1</v>
      </c>
      <c r="I1761">
        <f t="shared" si="12"/>
        <v>2</v>
      </c>
    </row>
    <row r="1762" spans="3:9" x14ac:dyDescent="0.3">
      <c r="C1762" s="2" t="s">
        <v>288</v>
      </c>
      <c r="E1762" s="2">
        <f>SUM(E1760:E1761)</f>
        <v>0.1</v>
      </c>
      <c r="F1762" s="2">
        <f>SUM(F1760:F1761)</f>
        <v>0.4</v>
      </c>
      <c r="G1762" s="2">
        <f>SUM(G1760:G1761)</f>
        <v>8.1999999999999993</v>
      </c>
      <c r="H1762" s="2">
        <f>SUM(H1760:H1761)</f>
        <v>22.6</v>
      </c>
      <c r="I1762" s="2">
        <f>SUM(I1760:I1761)</f>
        <v>22.8</v>
      </c>
    </row>
    <row r="1763" spans="3:9" x14ac:dyDescent="0.3">
      <c r="C1763" t="s">
        <v>289</v>
      </c>
      <c r="E1763">
        <f>E2185</f>
        <v>3.1</v>
      </c>
      <c r="F1763">
        <f>F2185</f>
        <v>11.5</v>
      </c>
      <c r="G1763">
        <f>G2185</f>
        <v>28</v>
      </c>
      <c r="H1763">
        <f>H2185</f>
        <v>29.8</v>
      </c>
      <c r="I1763">
        <f>I2185</f>
        <v>32</v>
      </c>
    </row>
    <row r="1764" spans="3:9" x14ac:dyDescent="0.3">
      <c r="C1764" s="2" t="s">
        <v>367</v>
      </c>
      <c r="E1764">
        <f>SUM(E1762:E1763)</f>
        <v>3.2</v>
      </c>
      <c r="F1764">
        <f>SUM(F1762:F1763)</f>
        <v>11.9</v>
      </c>
      <c r="G1764">
        <f>SUM(G1762:G1763)</f>
        <v>36.200000000000003</v>
      </c>
      <c r="H1764">
        <f>SUM(H1762:H1763)</f>
        <v>52.400000000000006</v>
      </c>
      <c r="I1764">
        <f>SUM(I1762:I1763)</f>
        <v>54.8</v>
      </c>
    </row>
    <row r="1765" spans="3:9" x14ac:dyDescent="0.3">
      <c r="C1765" t="s">
        <v>366</v>
      </c>
      <c r="E1765">
        <f>E2090</f>
        <v>0.3</v>
      </c>
      <c r="F1765">
        <f>F2090</f>
        <v>0.3</v>
      </c>
      <c r="G1765">
        <f>G2090</f>
        <v>0.9</v>
      </c>
      <c r="H1765">
        <f>H2090</f>
        <v>0.5</v>
      </c>
      <c r="I1765">
        <f>I2090</f>
        <v>0</v>
      </c>
    </row>
    <row r="1766" spans="3:9" x14ac:dyDescent="0.3">
      <c r="C1766" s="2" t="s">
        <v>113</v>
      </c>
      <c r="E1766" s="2">
        <f>SUM(E1764:E1765)</f>
        <v>3.5</v>
      </c>
      <c r="F1766" s="2">
        <f>SUM(F1764:F1765)</f>
        <v>12.200000000000001</v>
      </c>
      <c r="G1766" s="2">
        <f>SUM(G1764:G1765)</f>
        <v>37.1</v>
      </c>
      <c r="H1766" s="2">
        <f>SUM(H1764:H1765)</f>
        <v>52.900000000000006</v>
      </c>
      <c r="I1766" s="2">
        <f>SUM(I1764:I1765)</f>
        <v>54.8</v>
      </c>
    </row>
    <row r="1779" spans="3:9" ht="23.4" x14ac:dyDescent="0.45">
      <c r="C1779" s="63" t="s">
        <v>369</v>
      </c>
    </row>
    <row r="1780" spans="3:9" x14ac:dyDescent="0.3">
      <c r="C1780" t="s">
        <v>382</v>
      </c>
    </row>
    <row r="1782" spans="3:9" x14ac:dyDescent="0.3">
      <c r="C1782" s="2" t="s">
        <v>368</v>
      </c>
    </row>
    <row r="1783" spans="3:9" x14ac:dyDescent="0.3">
      <c r="C1783" t="s">
        <v>370</v>
      </c>
      <c r="E1783">
        <v>103.7</v>
      </c>
      <c r="F1783">
        <v>100.5</v>
      </c>
      <c r="G1783">
        <v>94.9</v>
      </c>
      <c r="H1783">
        <v>114.5</v>
      </c>
      <c r="I1783">
        <v>116.8</v>
      </c>
    </row>
    <row r="1784" spans="3:9" x14ac:dyDescent="0.3">
      <c r="C1784" t="s">
        <v>371</v>
      </c>
      <c r="E1784">
        <v>113.8</v>
      </c>
      <c r="F1784">
        <v>107.6</v>
      </c>
      <c r="G1784">
        <v>117.7</v>
      </c>
      <c r="H1784">
        <v>144.6</v>
      </c>
      <c r="I1784">
        <v>153.69999999999999</v>
      </c>
    </row>
    <row r="1785" spans="3:9" x14ac:dyDescent="0.3">
      <c r="C1785" t="s">
        <v>372</v>
      </c>
      <c r="E1785">
        <v>3.1</v>
      </c>
      <c r="F1785">
        <v>0.5</v>
      </c>
      <c r="G1785">
        <v>0.7</v>
      </c>
      <c r="I1785">
        <v>2.1</v>
      </c>
    </row>
    <row r="1786" spans="3:9" x14ac:dyDescent="0.3">
      <c r="C1786" t="s">
        <v>383</v>
      </c>
      <c r="E1786">
        <v>-3.1</v>
      </c>
      <c r="F1786">
        <v>-2.7</v>
      </c>
      <c r="G1786">
        <v>1.7</v>
      </c>
      <c r="H1786">
        <v>3.4</v>
      </c>
      <c r="I1786">
        <v>0.3</v>
      </c>
    </row>
    <row r="1787" spans="3:9" x14ac:dyDescent="0.3">
      <c r="C1787" t="s">
        <v>384</v>
      </c>
      <c r="E1787">
        <v>-1.2</v>
      </c>
      <c r="F1787">
        <v>-34.9</v>
      </c>
      <c r="G1787">
        <v>-5.9</v>
      </c>
      <c r="H1787">
        <v>-1.7</v>
      </c>
      <c r="I1787">
        <v>3.8</v>
      </c>
    </row>
    <row r="1788" spans="3:9" x14ac:dyDescent="0.3">
      <c r="C1788" t="s">
        <v>1084</v>
      </c>
      <c r="F1788">
        <v>0.4</v>
      </c>
      <c r="G1788">
        <v>8.3000000000000007</v>
      </c>
      <c r="H1788">
        <v>22.6</v>
      </c>
      <c r="I1788">
        <v>22.8</v>
      </c>
    </row>
    <row r="1789" spans="3:9" x14ac:dyDescent="0.3">
      <c r="C1789" t="s">
        <v>1085</v>
      </c>
      <c r="E1789">
        <v>4.3</v>
      </c>
      <c r="F1789">
        <v>12.1</v>
      </c>
      <c r="G1789">
        <v>30.1</v>
      </c>
      <c r="H1789">
        <v>32.6</v>
      </c>
      <c r="I1789">
        <v>36.299999999999997</v>
      </c>
    </row>
    <row r="1790" spans="3:9" x14ac:dyDescent="0.3">
      <c r="C1790" t="s">
        <v>227</v>
      </c>
    </row>
    <row r="1791" spans="3:9" x14ac:dyDescent="0.3">
      <c r="C1791" t="s">
        <v>374</v>
      </c>
      <c r="E1791">
        <v>-3.8</v>
      </c>
      <c r="F1791">
        <v>-1.4</v>
      </c>
      <c r="G1791">
        <v>-2.5</v>
      </c>
      <c r="H1791">
        <v>-5</v>
      </c>
      <c r="I1791">
        <v>-1</v>
      </c>
    </row>
    <row r="1792" spans="3:9" x14ac:dyDescent="0.3">
      <c r="C1792" t="s">
        <v>373</v>
      </c>
      <c r="E1792">
        <v>-13.4</v>
      </c>
      <c r="F1792">
        <v>-17.7</v>
      </c>
      <c r="G1792">
        <v>-1.6</v>
      </c>
      <c r="I1792">
        <v>-16.3</v>
      </c>
    </row>
    <row r="1793" spans="3:9" x14ac:dyDescent="0.3">
      <c r="C1793" t="s">
        <v>381</v>
      </c>
      <c r="F1793">
        <v>16.3</v>
      </c>
      <c r="G1793">
        <v>-12.3</v>
      </c>
      <c r="H1793">
        <v>-3.4</v>
      </c>
      <c r="I1793">
        <v>3.4</v>
      </c>
    </row>
    <row r="1794" spans="3:9" x14ac:dyDescent="0.3">
      <c r="C1794" t="s">
        <v>377</v>
      </c>
      <c r="E1794">
        <v>1674.6</v>
      </c>
      <c r="F1794">
        <v>1785.4</v>
      </c>
      <c r="G1794">
        <v>1809.2</v>
      </c>
      <c r="H1794">
        <v>1909.3</v>
      </c>
      <c r="I1794">
        <v>2123.6</v>
      </c>
    </row>
    <row r="1795" spans="3:9" x14ac:dyDescent="0.3">
      <c r="C1795" t="s">
        <v>378</v>
      </c>
      <c r="E1795">
        <v>102.4</v>
      </c>
      <c r="F1795">
        <v>152.4</v>
      </c>
      <c r="G1795">
        <v>125.8</v>
      </c>
      <c r="H1795">
        <v>153.4</v>
      </c>
      <c r="I1795">
        <v>162</v>
      </c>
    </row>
    <row r="1806" spans="3:9" x14ac:dyDescent="0.3">
      <c r="C1806" s="2" t="s">
        <v>522</v>
      </c>
      <c r="E1806" s="2"/>
      <c r="F1806" s="2"/>
      <c r="G1806" s="2"/>
      <c r="H1806" s="2"/>
      <c r="I1806" s="2"/>
    </row>
    <row r="1807" spans="3:9" x14ac:dyDescent="0.3">
      <c r="C1807" t="s">
        <v>535</v>
      </c>
      <c r="E1807">
        <f t="shared" ref="E1807:I1808" si="13">E2204+E2184</f>
        <v>0.30000000000000004</v>
      </c>
      <c r="F1807">
        <f t="shared" si="13"/>
        <v>0.4</v>
      </c>
      <c r="G1807">
        <f t="shared" si="13"/>
        <v>8.1999999999999993</v>
      </c>
      <c r="H1807">
        <f t="shared" si="13"/>
        <v>22.6</v>
      </c>
      <c r="I1807">
        <f t="shared" si="13"/>
        <v>22.8</v>
      </c>
    </row>
    <row r="1808" spans="3:9" x14ac:dyDescent="0.3">
      <c r="C1808" t="s">
        <v>293</v>
      </c>
      <c r="E1808">
        <f t="shared" si="13"/>
        <v>3.6</v>
      </c>
      <c r="F1808">
        <f t="shared" si="13"/>
        <v>12.1</v>
      </c>
      <c r="G1808">
        <f t="shared" si="13"/>
        <v>29.3</v>
      </c>
      <c r="H1808">
        <f t="shared" si="13"/>
        <v>29.8</v>
      </c>
      <c r="I1808">
        <f t="shared" si="13"/>
        <v>35.799999999999997</v>
      </c>
    </row>
    <row r="1809" spans="3:9" x14ac:dyDescent="0.3">
      <c r="C1809" s="2" t="s">
        <v>113</v>
      </c>
      <c r="E1809" s="2">
        <f>E1807+E1808</f>
        <v>3.9000000000000004</v>
      </c>
      <c r="F1809" s="2">
        <f>F1807+F1808</f>
        <v>12.5</v>
      </c>
      <c r="G1809" s="2">
        <f>G1807+G1808</f>
        <v>37.5</v>
      </c>
      <c r="H1809" s="2">
        <f>H1807+H1808</f>
        <v>52.400000000000006</v>
      </c>
      <c r="I1809" s="2">
        <f>I1807+I1808</f>
        <v>58.599999999999994</v>
      </c>
    </row>
    <row r="1810" spans="3:9" x14ac:dyDescent="0.3">
      <c r="C1810" t="s">
        <v>531</v>
      </c>
      <c r="E1810" s="2">
        <f>E1809-E1944</f>
        <v>-0.39999999999999947</v>
      </c>
      <c r="F1810" s="2">
        <f>F1809-F1944</f>
        <v>0</v>
      </c>
      <c r="G1810" s="2">
        <f>G1809-G1944</f>
        <v>-1</v>
      </c>
      <c r="H1810" s="2">
        <f>H1809-H1944</f>
        <v>-2.7999999999999972</v>
      </c>
      <c r="I1810" s="2">
        <f>I1809-I1944</f>
        <v>-0.50000000000000711</v>
      </c>
    </row>
    <row r="1815" spans="3:9" x14ac:dyDescent="0.3">
      <c r="C1815" s="2"/>
      <c r="E1815" s="2"/>
      <c r="F1815" s="2"/>
      <c r="G1815" s="2"/>
      <c r="H1815" s="2"/>
      <c r="I1815" s="2"/>
    </row>
    <row r="1816" spans="3:9" x14ac:dyDescent="0.3">
      <c r="C1816" s="2" t="s">
        <v>452</v>
      </c>
      <c r="E1816" s="2"/>
      <c r="F1816" s="2"/>
      <c r="G1816" s="2"/>
      <c r="H1816" s="2"/>
      <c r="I1816" s="2"/>
    </row>
    <row r="1817" spans="3:9" x14ac:dyDescent="0.3">
      <c r="C1817" t="s">
        <v>298</v>
      </c>
      <c r="E1817" s="2"/>
      <c r="F1817" s="2"/>
      <c r="G1817" s="2"/>
      <c r="H1817" s="2"/>
      <c r="I1817" s="2">
        <v>1</v>
      </c>
    </row>
    <row r="1818" spans="3:9" x14ac:dyDescent="0.3">
      <c r="C1818" t="s">
        <v>299</v>
      </c>
      <c r="E1818" s="2"/>
      <c r="F1818" s="2"/>
      <c r="G1818" s="2"/>
      <c r="H1818" s="2"/>
      <c r="I1818" s="2">
        <v>3</v>
      </c>
    </row>
    <row r="1819" spans="3:9" x14ac:dyDescent="0.3">
      <c r="C1819" s="2"/>
      <c r="E1819" s="2"/>
      <c r="F1819" s="2"/>
      <c r="G1819" s="2"/>
      <c r="H1819" s="2"/>
      <c r="I1819" s="2"/>
    </row>
    <row r="1820" spans="3:9" x14ac:dyDescent="0.3">
      <c r="C1820" s="2" t="s">
        <v>537</v>
      </c>
      <c r="E1820" s="2"/>
      <c r="F1820" s="2"/>
      <c r="G1820" s="2"/>
      <c r="H1820" s="2"/>
      <c r="I1820" s="2"/>
    </row>
    <row r="1821" spans="3:9" x14ac:dyDescent="0.3">
      <c r="C1821" s="2" t="s">
        <v>522</v>
      </c>
      <c r="E1821" s="2"/>
      <c r="F1821" s="2"/>
      <c r="G1821" s="2"/>
      <c r="H1821" s="2"/>
      <c r="I1821" s="2"/>
    </row>
    <row r="1822" spans="3:9" x14ac:dyDescent="0.3">
      <c r="C1822" t="s">
        <v>535</v>
      </c>
      <c r="E1822" s="2"/>
      <c r="F1822">
        <f>F1807</f>
        <v>0.4</v>
      </c>
      <c r="G1822" s="2">
        <f t="shared" ref="G1822:I1823" si="14">G1927</f>
        <v>8.3000000000000007</v>
      </c>
      <c r="H1822" s="2">
        <f t="shared" si="14"/>
        <v>22.6</v>
      </c>
      <c r="I1822" s="2">
        <f t="shared" si="14"/>
        <v>22.8</v>
      </c>
    </row>
    <row r="1823" spans="3:9" x14ac:dyDescent="0.3">
      <c r="C1823" t="s">
        <v>293</v>
      </c>
      <c r="E1823" s="2"/>
      <c r="F1823">
        <f>F1808</f>
        <v>12.1</v>
      </c>
      <c r="G1823" s="2">
        <f t="shared" si="14"/>
        <v>30.1</v>
      </c>
      <c r="H1823" s="2">
        <f t="shared" si="14"/>
        <v>32.6</v>
      </c>
      <c r="I1823" s="2">
        <f t="shared" si="14"/>
        <v>36.299999999999997</v>
      </c>
    </row>
    <row r="1824" spans="3:9" x14ac:dyDescent="0.3">
      <c r="C1824" s="2" t="s">
        <v>113</v>
      </c>
      <c r="E1824">
        <f>E1988</f>
        <v>4.3</v>
      </c>
      <c r="F1824">
        <f>F1988</f>
        <v>12.5</v>
      </c>
      <c r="G1824">
        <f>G1988</f>
        <v>38.400000000000006</v>
      </c>
      <c r="H1824">
        <f>H1988</f>
        <v>55.2</v>
      </c>
      <c r="I1824">
        <f>I1988</f>
        <v>59.099999999999994</v>
      </c>
    </row>
    <row r="1825" spans="3:9" x14ac:dyDescent="0.3">
      <c r="C1825" s="2"/>
    </row>
    <row r="1826" spans="3:9" x14ac:dyDescent="0.3">
      <c r="C1826" s="2" t="s">
        <v>281</v>
      </c>
      <c r="E1826">
        <f>E2180</f>
        <v>3.1</v>
      </c>
      <c r="F1826">
        <f>F2180</f>
        <v>15.8</v>
      </c>
      <c r="G1826">
        <f>G2180</f>
        <v>37.799999999999997</v>
      </c>
      <c r="H1826">
        <f>H2180</f>
        <v>48.8</v>
      </c>
      <c r="I1826">
        <f>I2180</f>
        <v>50.4</v>
      </c>
    </row>
    <row r="1827" spans="3:9" x14ac:dyDescent="0.3">
      <c r="C1827" s="2" t="s">
        <v>540</v>
      </c>
      <c r="E1827">
        <f>E1824-E1826</f>
        <v>1.1999999999999997</v>
      </c>
      <c r="F1827">
        <f>F1824-F1826</f>
        <v>-3.3000000000000007</v>
      </c>
      <c r="G1827">
        <f>G1824-G1826</f>
        <v>0.60000000000000853</v>
      </c>
      <c r="H1827">
        <f>H1824-H1826</f>
        <v>6.4000000000000057</v>
      </c>
      <c r="I1827">
        <f>I1824-I1826</f>
        <v>8.6999999999999957</v>
      </c>
    </row>
    <row r="1828" spans="3:9" x14ac:dyDescent="0.3">
      <c r="C1828" s="2"/>
    </row>
    <row r="1829" spans="3:9" x14ac:dyDescent="0.3">
      <c r="C1829" s="2" t="s">
        <v>539</v>
      </c>
    </row>
    <row r="1830" spans="3:9" x14ac:dyDescent="0.3">
      <c r="C1830" s="2" t="s">
        <v>538</v>
      </c>
    </row>
    <row r="1831" spans="3:9" x14ac:dyDescent="0.3">
      <c r="C1831" t="s">
        <v>521</v>
      </c>
      <c r="E1831">
        <f>E2188</f>
        <v>0</v>
      </c>
      <c r="F1831">
        <f>F2188</f>
        <v>4.3</v>
      </c>
      <c r="G1831">
        <f>G2188</f>
        <v>9.8000000000000007</v>
      </c>
      <c r="H1831">
        <f>H2188</f>
        <v>19</v>
      </c>
      <c r="I1831">
        <f>I2188</f>
        <v>18.399999999999999</v>
      </c>
    </row>
    <row r="1832" spans="3:9" x14ac:dyDescent="0.3">
      <c r="C1832" t="s">
        <v>284</v>
      </c>
      <c r="E1832">
        <f>E2185</f>
        <v>3.1</v>
      </c>
      <c r="F1832">
        <f>F2185</f>
        <v>11.5</v>
      </c>
      <c r="G1832">
        <f>G2185</f>
        <v>28</v>
      </c>
      <c r="H1832">
        <f>H2185</f>
        <v>29.8</v>
      </c>
      <c r="I1832">
        <f>I2185</f>
        <v>32</v>
      </c>
    </row>
    <row r="1833" spans="3:9" x14ac:dyDescent="0.3">
      <c r="C1833" s="2" t="s">
        <v>113</v>
      </c>
      <c r="E1833" s="2">
        <f>E1831+E1832</f>
        <v>3.1</v>
      </c>
      <c r="F1833" s="2">
        <f>F1831+F1832</f>
        <v>15.8</v>
      </c>
      <c r="G1833" s="2">
        <f>G1831+G1832</f>
        <v>37.799999999999997</v>
      </c>
      <c r="H1833" s="2">
        <f>H1831+H1832</f>
        <v>48.8</v>
      </c>
      <c r="I1833" s="2">
        <f>I1831+I1832</f>
        <v>50.4</v>
      </c>
    </row>
    <row r="1834" spans="3:9" x14ac:dyDescent="0.3">
      <c r="C1834" s="2"/>
    </row>
    <row r="1835" spans="3:9" x14ac:dyDescent="0.3">
      <c r="C1835" s="2" t="s">
        <v>290</v>
      </c>
    </row>
    <row r="1836" spans="3:9" x14ac:dyDescent="0.3">
      <c r="C1836" t="str">
        <f>C1831</f>
        <v>Intangible</v>
      </c>
      <c r="E1836">
        <f t="shared" ref="E1836:I1837" si="15">E2204</f>
        <v>0.2</v>
      </c>
      <c r="F1836">
        <f t="shared" si="15"/>
        <v>0</v>
      </c>
      <c r="G1836">
        <f t="shared" si="15"/>
        <v>0</v>
      </c>
      <c r="H1836">
        <f t="shared" si="15"/>
        <v>0</v>
      </c>
      <c r="I1836">
        <f t="shared" si="15"/>
        <v>0</v>
      </c>
    </row>
    <row r="1837" spans="3:9" x14ac:dyDescent="0.3">
      <c r="C1837" t="str">
        <f>C1832</f>
        <v>software</v>
      </c>
      <c r="E1837">
        <f t="shared" si="15"/>
        <v>0.5</v>
      </c>
      <c r="F1837">
        <f t="shared" si="15"/>
        <v>0.6</v>
      </c>
      <c r="G1837">
        <f t="shared" si="15"/>
        <v>1.3</v>
      </c>
      <c r="H1837">
        <f t="shared" si="15"/>
        <v>0</v>
      </c>
      <c r="I1837">
        <f t="shared" si="15"/>
        <v>3.8</v>
      </c>
    </row>
    <row r="1838" spans="3:9" x14ac:dyDescent="0.3">
      <c r="C1838" t="str">
        <f>C1833</f>
        <v>Total</v>
      </c>
      <c r="E1838" s="2">
        <f>E1836+E1837</f>
        <v>0.7</v>
      </c>
      <c r="F1838" s="2">
        <f>F1836+F1837</f>
        <v>0.6</v>
      </c>
      <c r="G1838" s="2">
        <f>G1836+G1837</f>
        <v>1.3</v>
      </c>
      <c r="H1838" s="2">
        <f>H1836+H1837</f>
        <v>0</v>
      </c>
      <c r="I1838" s="2">
        <f>I1836+I1837</f>
        <v>3.8</v>
      </c>
    </row>
    <row r="1839" spans="3:9" x14ac:dyDescent="0.3">
      <c r="E1839">
        <f>E1827-E1838</f>
        <v>0.49999999999999978</v>
      </c>
      <c r="F1839">
        <f>F1827-F1838</f>
        <v>-3.9000000000000008</v>
      </c>
      <c r="G1839">
        <f>G1827-G1838</f>
        <v>-0.69999999999999152</v>
      </c>
      <c r="H1839">
        <f>H1827-H1838</f>
        <v>6.4000000000000057</v>
      </c>
      <c r="I1839">
        <f>I1827-I1838</f>
        <v>4.8999999999999959</v>
      </c>
    </row>
    <row r="1842" spans="2:9" x14ac:dyDescent="0.3">
      <c r="C1842" s="2" t="s">
        <v>135</v>
      </c>
    </row>
    <row r="1843" spans="2:9" x14ac:dyDescent="0.3">
      <c r="B1843" t="s">
        <v>503</v>
      </c>
      <c r="C1843" s="2" t="s">
        <v>225</v>
      </c>
      <c r="E1843" s="2">
        <f>-'HISTORICAL FS'!E50</f>
        <v>-90.3</v>
      </c>
      <c r="F1843" s="2">
        <f>-'HISTORICAL FS'!F50</f>
        <v>-80.599999999999994</v>
      </c>
      <c r="G1843">
        <f>-'HISTORICAL FS'!G50</f>
        <v>-95.7</v>
      </c>
      <c r="H1843">
        <f>-'HISTORICAL FS'!H50</f>
        <v>-117.9</v>
      </c>
      <c r="I1843">
        <f>-'HISTORICAL FS'!I50</f>
        <v>-119.2</v>
      </c>
    </row>
    <row r="1844" spans="2:9" x14ac:dyDescent="0.3">
      <c r="C1844" t="s">
        <v>279</v>
      </c>
      <c r="E1844">
        <f>-E2142</f>
        <v>-103.69999999999999</v>
      </c>
      <c r="F1844">
        <f>-F2142</f>
        <v>-100.5</v>
      </c>
      <c r="G1844">
        <f>-G2142</f>
        <v>-94.899999999999991</v>
      </c>
      <c r="H1844">
        <f>-H2142</f>
        <v>-114.5</v>
      </c>
      <c r="I1844">
        <f>-I2142</f>
        <v>-116.8</v>
      </c>
    </row>
    <row r="1845" spans="2:9" x14ac:dyDescent="0.3">
      <c r="C1845" t="s">
        <v>446</v>
      </c>
      <c r="E1845">
        <f>E2161</f>
        <v>-3.1</v>
      </c>
      <c r="F1845">
        <f>F2161</f>
        <v>-2.7</v>
      </c>
      <c r="G1845">
        <f>G2161</f>
        <v>1.7000000000000002</v>
      </c>
      <c r="H1845">
        <f>H2161</f>
        <v>3.4</v>
      </c>
      <c r="I1845">
        <f>I2161</f>
        <v>0.3</v>
      </c>
    </row>
    <row r="1846" spans="2:9" x14ac:dyDescent="0.3">
      <c r="B1846" t="s">
        <v>503</v>
      </c>
      <c r="C1846" t="s">
        <v>501</v>
      </c>
      <c r="E1846">
        <f>E1701</f>
        <v>3.1</v>
      </c>
      <c r="F1846">
        <f>F1701</f>
        <v>0.5</v>
      </c>
      <c r="G1846">
        <f>G1701</f>
        <v>0.7</v>
      </c>
      <c r="H1846">
        <f>H1701</f>
        <v>0</v>
      </c>
      <c r="I1846">
        <f>I1701</f>
        <v>2.1</v>
      </c>
    </row>
    <row r="1847" spans="2:9" x14ac:dyDescent="0.3">
      <c r="B1847" t="s">
        <v>504</v>
      </c>
      <c r="C1847" s="2" t="s">
        <v>113</v>
      </c>
      <c r="E1847" s="2">
        <f>SUM(E1844:E1846)</f>
        <v>-103.69999999999999</v>
      </c>
      <c r="F1847" s="2">
        <f>SUM(F1844:F1846)</f>
        <v>-102.7</v>
      </c>
      <c r="G1847" s="2">
        <f>SUM(G1844:G1846)</f>
        <v>-92.499999999999986</v>
      </c>
      <c r="H1847" s="2">
        <f>SUM(H1844:H1846)</f>
        <v>-111.1</v>
      </c>
      <c r="I1847" s="2">
        <f>SUM(I1844:I1846)</f>
        <v>-114.4</v>
      </c>
    </row>
    <row r="1848" spans="2:9" x14ac:dyDescent="0.3">
      <c r="C1848" s="2" t="s">
        <v>506</v>
      </c>
      <c r="E1848" s="2">
        <f>E1699+E1701+E1703</f>
        <v>103.7</v>
      </c>
      <c r="F1848" s="2">
        <f>F1699+F1701+F1703</f>
        <v>98.3</v>
      </c>
      <c r="G1848" s="2">
        <f>G1699+G1701+G1703</f>
        <v>97.300000000000011</v>
      </c>
      <c r="H1848" s="2">
        <f>H1699+H1701+H1703</f>
        <v>117.9</v>
      </c>
      <c r="I1848" s="2">
        <f>I1699+I1701+I1703</f>
        <v>119.19999999999999</v>
      </c>
    </row>
    <row r="1850" spans="2:9" x14ac:dyDescent="0.3">
      <c r="B1850" t="s">
        <v>503</v>
      </c>
      <c r="C1850" s="2" t="s">
        <v>226</v>
      </c>
      <c r="E1850" s="2">
        <f>E1700+E1704</f>
        <v>112.6</v>
      </c>
      <c r="F1850" s="2">
        <f>F1700+F1704</f>
        <v>72.699999999999989</v>
      </c>
      <c r="G1850" s="2">
        <f>G1700+G1704</f>
        <v>111.8</v>
      </c>
      <c r="H1850" s="2">
        <f>H1700+H1704</f>
        <v>142.9</v>
      </c>
      <c r="I1850" s="2">
        <f>I1700+I1704</f>
        <v>157.5</v>
      </c>
    </row>
    <row r="1851" spans="2:9" x14ac:dyDescent="0.3">
      <c r="C1851" t="s">
        <v>279</v>
      </c>
      <c r="E1851">
        <f>E2143</f>
        <v>113.8</v>
      </c>
      <c r="F1851">
        <f>F2143</f>
        <v>107.6</v>
      </c>
      <c r="G1851">
        <f>G2143</f>
        <v>117.7</v>
      </c>
      <c r="H1851">
        <f>H2143</f>
        <v>144.6</v>
      </c>
      <c r="I1851">
        <f>I2143</f>
        <v>153.69999999999999</v>
      </c>
    </row>
    <row r="1852" spans="2:9" x14ac:dyDescent="0.3">
      <c r="C1852" t="s">
        <v>446</v>
      </c>
      <c r="E1852">
        <f>E2162</f>
        <v>-1.8</v>
      </c>
      <c r="F1852">
        <f>F2162</f>
        <v>-34.9</v>
      </c>
      <c r="G1852">
        <f>G2162</f>
        <v>-5.9</v>
      </c>
      <c r="H1852">
        <f>H2162</f>
        <v>3.8</v>
      </c>
      <c r="I1852">
        <f>I2162</f>
        <v>-1.7</v>
      </c>
    </row>
    <row r="1853" spans="2:9" x14ac:dyDescent="0.3">
      <c r="C1853" t="s">
        <v>501</v>
      </c>
    </row>
    <row r="1854" spans="2:9" x14ac:dyDescent="0.3">
      <c r="B1854" t="s">
        <v>505</v>
      </c>
      <c r="C1854" s="2" t="s">
        <v>113</v>
      </c>
      <c r="E1854" s="2">
        <f>SUM(E1851:E1853)</f>
        <v>112</v>
      </c>
      <c r="F1854" s="2">
        <f>SUM(F1851:F1853)</f>
        <v>72.699999999999989</v>
      </c>
      <c r="G1854" s="2">
        <f>SUM(G1851:G1853)</f>
        <v>111.8</v>
      </c>
      <c r="H1854" s="2">
        <f>SUM(H1851:H1853)</f>
        <v>148.4</v>
      </c>
      <c r="I1854" s="2">
        <f>SUM(I1851:I1853)</f>
        <v>152</v>
      </c>
    </row>
    <row r="1855" spans="2:9" x14ac:dyDescent="0.3">
      <c r="C1855" s="2" t="s">
        <v>506</v>
      </c>
      <c r="E1855" s="2">
        <f>E1700+E1704</f>
        <v>112.6</v>
      </c>
      <c r="F1855" s="2">
        <f>F1700+F1704</f>
        <v>72.699999999999989</v>
      </c>
      <c r="G1855" s="2">
        <f>G1700+G1704</f>
        <v>111.8</v>
      </c>
      <c r="H1855" s="2">
        <f>H1700+H1704</f>
        <v>142.9</v>
      </c>
      <c r="I1855" s="2">
        <f>I1700+I1704</f>
        <v>157.5</v>
      </c>
    </row>
    <row r="1857" spans="3:9" x14ac:dyDescent="0.3">
      <c r="C1857" s="2" t="s">
        <v>358</v>
      </c>
      <c r="E1857" s="2">
        <f>'HISTORICAL FS'!E52</f>
        <v>4.3</v>
      </c>
    </row>
    <row r="1858" spans="3:9" x14ac:dyDescent="0.3">
      <c r="C1858" t="s">
        <v>281</v>
      </c>
      <c r="E1858">
        <f>E2187</f>
        <v>3.2</v>
      </c>
    </row>
    <row r="1859" spans="3:9" x14ac:dyDescent="0.3">
      <c r="C1859" t="s">
        <v>446</v>
      </c>
      <c r="E1859">
        <f>E2207</f>
        <v>0.7</v>
      </c>
    </row>
    <row r="1860" spans="3:9" x14ac:dyDescent="0.3">
      <c r="C1860" t="s">
        <v>501</v>
      </c>
    </row>
    <row r="1861" spans="3:9" x14ac:dyDescent="0.3">
      <c r="C1861" s="2" t="s">
        <v>113</v>
      </c>
      <c r="E1861" s="2">
        <f>SUM(E1858:E1860)</f>
        <v>3.9000000000000004</v>
      </c>
    </row>
    <row r="1862" spans="3:9" x14ac:dyDescent="0.3">
      <c r="C1862" s="2" t="s">
        <v>506</v>
      </c>
      <c r="E1862">
        <f>E1707</f>
        <v>4.3</v>
      </c>
      <c r="F1862">
        <f>F1707</f>
        <v>12.5</v>
      </c>
      <c r="G1862">
        <f>G1705+G1706</f>
        <v>38.400000000000006</v>
      </c>
      <c r="H1862">
        <f>H1705+H1706</f>
        <v>55.2</v>
      </c>
      <c r="I1862">
        <f>I1705+I1706</f>
        <v>59.099999999999994</v>
      </c>
    </row>
    <row r="1864" spans="3:9" x14ac:dyDescent="0.3">
      <c r="C1864" s="2" t="s">
        <v>507</v>
      </c>
      <c r="E1864" s="2">
        <f>'HISTORICAL FS'!E53</f>
        <v>0</v>
      </c>
      <c r="F1864" s="2">
        <f>'HISTORICAL FS'!F53</f>
        <v>1.1000000000000001</v>
      </c>
    </row>
    <row r="1865" spans="3:9" x14ac:dyDescent="0.3">
      <c r="C1865" t="s">
        <v>281</v>
      </c>
      <c r="E1865">
        <f>E2092</f>
        <v>0.3</v>
      </c>
      <c r="F1865">
        <f>F2092</f>
        <v>0.3</v>
      </c>
      <c r="G1865">
        <f>G2092</f>
        <v>0.9</v>
      </c>
      <c r="H1865">
        <f>H2092</f>
        <v>0.5</v>
      </c>
      <c r="I1865">
        <f>I2092</f>
        <v>0</v>
      </c>
    </row>
    <row r="1866" spans="3:9" x14ac:dyDescent="0.3">
      <c r="C1866" t="s">
        <v>446</v>
      </c>
      <c r="E1866">
        <f>E2104</f>
        <v>0</v>
      </c>
      <c r="F1866">
        <f>F2104</f>
        <v>0.7</v>
      </c>
      <c r="G1866">
        <f>G2104</f>
        <v>0</v>
      </c>
      <c r="H1866">
        <f>H2104</f>
        <v>13</v>
      </c>
      <c r="I1866">
        <f>I2104</f>
        <v>2.9</v>
      </c>
    </row>
    <row r="1867" spans="3:9" x14ac:dyDescent="0.3">
      <c r="C1867" t="s">
        <v>501</v>
      </c>
    </row>
    <row r="1868" spans="3:9" x14ac:dyDescent="0.3">
      <c r="C1868" s="2" t="s">
        <v>113</v>
      </c>
      <c r="E1868">
        <f>SUM(E1865:E1867)</f>
        <v>0.3</v>
      </c>
      <c r="F1868">
        <f>SUM(F1865:F1867)</f>
        <v>1</v>
      </c>
      <c r="G1868">
        <f>SUM(G1865:G1867)</f>
        <v>0.9</v>
      </c>
      <c r="H1868">
        <f>SUM(H1865:H1867)</f>
        <v>13.5</v>
      </c>
      <c r="I1868">
        <f>SUM(I1865:I1867)</f>
        <v>2.9</v>
      </c>
    </row>
    <row r="1869" spans="3:9" x14ac:dyDescent="0.3">
      <c r="C1869" s="2"/>
    </row>
    <row r="1870" spans="3:9" x14ac:dyDescent="0.3">
      <c r="C1870" s="2" t="s">
        <v>510</v>
      </c>
      <c r="G1870" s="2">
        <v>-53.7</v>
      </c>
      <c r="H1870" s="2">
        <v>-79.2</v>
      </c>
      <c r="I1870" s="2">
        <v>-66.8</v>
      </c>
    </row>
    <row r="1871" spans="3:9" x14ac:dyDescent="0.3">
      <c r="C1871" s="2" t="s">
        <v>297</v>
      </c>
      <c r="G1871" s="2">
        <f>G1870-G1872</f>
        <v>-14.000000000000007</v>
      </c>
      <c r="H1871" s="2">
        <f>H1870-H1872</f>
        <v>-6.3999999999999915</v>
      </c>
      <c r="I1871" s="2">
        <f>I1870-I1872</f>
        <v>0</v>
      </c>
    </row>
    <row r="1872" spans="3:9" x14ac:dyDescent="0.3">
      <c r="C1872" s="2"/>
      <c r="G1872" s="2">
        <f>SUM(G1873:G1882)</f>
        <v>-39.699999999999996</v>
      </c>
      <c r="H1872" s="2">
        <f>SUM(H1873:H1882)</f>
        <v>-72.800000000000011</v>
      </c>
      <c r="I1872" s="2">
        <f>SUM(I1873:I1882)</f>
        <v>-66.8</v>
      </c>
    </row>
    <row r="1873" spans="3:9" x14ac:dyDescent="0.3">
      <c r="C1873" t="s">
        <v>513</v>
      </c>
      <c r="F1873">
        <v>-10.3</v>
      </c>
      <c r="G1873">
        <v>-18.5</v>
      </c>
      <c r="H1873">
        <v>-23.4</v>
      </c>
      <c r="I1873">
        <v>-27.2</v>
      </c>
    </row>
    <row r="1874" spans="3:9" x14ac:dyDescent="0.3">
      <c r="C1874" s="2"/>
    </row>
    <row r="1875" spans="3:9" x14ac:dyDescent="0.3">
      <c r="C1875" t="s">
        <v>511</v>
      </c>
      <c r="H1875">
        <v>-13</v>
      </c>
      <c r="I1875">
        <v>-6</v>
      </c>
    </row>
    <row r="1876" spans="3:9" x14ac:dyDescent="0.3">
      <c r="C1876" s="2"/>
    </row>
    <row r="1877" spans="3:9" x14ac:dyDescent="0.3">
      <c r="C1877" t="s">
        <v>509</v>
      </c>
      <c r="F1877">
        <v>-16.3</v>
      </c>
      <c r="G1877">
        <v>12.3</v>
      </c>
      <c r="H1877">
        <v>2.2999999999999998</v>
      </c>
      <c r="I1877">
        <v>-2.6</v>
      </c>
    </row>
    <row r="1879" spans="3:9" x14ac:dyDescent="0.3">
      <c r="C1879" s="2" t="s">
        <v>228</v>
      </c>
      <c r="F1879">
        <v>-24.9</v>
      </c>
      <c r="G1879">
        <v>-31.9</v>
      </c>
      <c r="H1879">
        <v>-38.700000000000003</v>
      </c>
      <c r="I1879">
        <v>-47.3</v>
      </c>
    </row>
    <row r="1880" spans="3:9" x14ac:dyDescent="0.3">
      <c r="C1880" s="2" t="s">
        <v>531</v>
      </c>
      <c r="F1880">
        <f>F1879+F1972</f>
        <v>-0.59999999999999787</v>
      </c>
      <c r="G1880">
        <f>G1879+G1972</f>
        <v>0</v>
      </c>
      <c r="H1880">
        <f>H1879+H1972</f>
        <v>0</v>
      </c>
      <c r="I1880">
        <f>I1879+I1972</f>
        <v>0</v>
      </c>
    </row>
    <row r="1881" spans="3:9" x14ac:dyDescent="0.3">
      <c r="C1881" s="2"/>
    </row>
    <row r="1882" spans="3:9" x14ac:dyDescent="0.3">
      <c r="C1882" s="2" t="s">
        <v>512</v>
      </c>
      <c r="E1882">
        <f>E1924</f>
        <v>-13.4</v>
      </c>
      <c r="F1882">
        <f>F1924</f>
        <v>-17.7</v>
      </c>
      <c r="G1882">
        <f>G1924</f>
        <v>-1.6</v>
      </c>
      <c r="H1882">
        <f>H1924</f>
        <v>0</v>
      </c>
      <c r="I1882">
        <v>16.3</v>
      </c>
    </row>
    <row r="1884" spans="3:9" x14ac:dyDescent="0.3">
      <c r="C1884" t="s">
        <v>508</v>
      </c>
      <c r="E1884">
        <f>'HISTORICAL FS'!E55</f>
        <v>-4.8</v>
      </c>
      <c r="F1884">
        <f>'HISTORICAL FS'!F55</f>
        <v>-14.3</v>
      </c>
      <c r="G1884">
        <f>'HISTORICAL FS'!G55</f>
        <v>-6.9</v>
      </c>
      <c r="H1884">
        <f>'HISTORICAL FS'!H55</f>
        <v>-6.7</v>
      </c>
      <c r="I1884">
        <f>'HISTORICAL FS'!I55</f>
        <v>-7.9</v>
      </c>
    </row>
    <row r="1885" spans="3:9" x14ac:dyDescent="0.3">
      <c r="C1885" s="2"/>
    </row>
    <row r="1886" spans="3:9" x14ac:dyDescent="0.3">
      <c r="C1886" t="s">
        <v>381</v>
      </c>
      <c r="E1886">
        <f>E1709</f>
        <v>-2.5</v>
      </c>
      <c r="F1886">
        <f>F1709</f>
        <v>16.3</v>
      </c>
      <c r="G1886">
        <f>G1709</f>
        <v>-12.3</v>
      </c>
      <c r="H1886">
        <f>H1709</f>
        <v>-3.4</v>
      </c>
      <c r="I1886">
        <f>I1709</f>
        <v>3.4</v>
      </c>
    </row>
    <row r="1888" spans="3:9" x14ac:dyDescent="0.3">
      <c r="C1888" s="2" t="s">
        <v>517</v>
      </c>
    </row>
    <row r="1889" spans="1:9" x14ac:dyDescent="0.3">
      <c r="C1889" t="s">
        <v>518</v>
      </c>
      <c r="F1889">
        <v>4.3</v>
      </c>
      <c r="G1889">
        <v>9.8000000000000007</v>
      </c>
      <c r="H1889">
        <v>19</v>
      </c>
      <c r="I1889">
        <v>18.399999999999999</v>
      </c>
    </row>
    <row r="1892" spans="1:9" x14ac:dyDescent="0.3">
      <c r="A1892" s="2" t="s">
        <v>909</v>
      </c>
    </row>
    <row r="1893" spans="1:9" x14ac:dyDescent="0.3">
      <c r="B1893" s="76"/>
      <c r="C1893" s="2" t="s">
        <v>523</v>
      </c>
    </row>
    <row r="1894" spans="1:9" x14ac:dyDescent="0.3">
      <c r="C1894" t="s">
        <v>132</v>
      </c>
      <c r="F1894">
        <v>941.5</v>
      </c>
      <c r="G1894">
        <v>987.9</v>
      </c>
      <c r="H1894">
        <v>1075.4000000000001</v>
      </c>
      <c r="I1894">
        <v>1278.8</v>
      </c>
    </row>
    <row r="1895" spans="1:9" x14ac:dyDescent="0.3">
      <c r="C1895" t="s">
        <v>524</v>
      </c>
      <c r="F1895">
        <v>80.599999999999994</v>
      </c>
      <c r="G1895">
        <v>95.7</v>
      </c>
      <c r="H1895">
        <v>117.9</v>
      </c>
      <c r="I1895">
        <v>119.2</v>
      </c>
    </row>
    <row r="1896" spans="1:9" x14ac:dyDescent="0.3">
      <c r="C1896" t="s">
        <v>527</v>
      </c>
      <c r="I1896">
        <v>-16.3</v>
      </c>
    </row>
    <row r="1897" spans="1:9" x14ac:dyDescent="0.3">
      <c r="C1897" t="s">
        <v>226</v>
      </c>
    </row>
    <row r="1898" spans="1:9" x14ac:dyDescent="0.3">
      <c r="C1898" t="s">
        <v>528</v>
      </c>
      <c r="F1898">
        <v>72.7</v>
      </c>
      <c r="G1898">
        <v>111.8</v>
      </c>
      <c r="H1898">
        <v>137.9</v>
      </c>
      <c r="I1898">
        <v>156.4</v>
      </c>
    </row>
    <row r="1899" spans="1:9" x14ac:dyDescent="0.3">
      <c r="C1899" t="s">
        <v>227</v>
      </c>
    </row>
    <row r="1900" spans="1:9" x14ac:dyDescent="0.3">
      <c r="C1900" t="s">
        <v>529</v>
      </c>
      <c r="F1900">
        <v>12.5</v>
      </c>
      <c r="G1900">
        <v>38.5</v>
      </c>
      <c r="H1900">
        <v>55.2</v>
      </c>
      <c r="I1900">
        <v>59.1</v>
      </c>
    </row>
    <row r="1901" spans="1:9" x14ac:dyDescent="0.3">
      <c r="C1901" t="s">
        <v>502</v>
      </c>
      <c r="F1901">
        <v>1.1000000000000001</v>
      </c>
      <c r="G1901">
        <v>0.8</v>
      </c>
      <c r="H1901">
        <v>13.5</v>
      </c>
      <c r="I1901">
        <v>5.6</v>
      </c>
    </row>
    <row r="1902" spans="1:9" x14ac:dyDescent="0.3">
      <c r="C1902" t="s">
        <v>228</v>
      </c>
      <c r="F1902">
        <v>24.3</v>
      </c>
      <c r="G1902">
        <v>31.9</v>
      </c>
      <c r="H1902">
        <v>40.9</v>
      </c>
      <c r="I1902">
        <v>43.1</v>
      </c>
    </row>
    <row r="1903" spans="1:9" x14ac:dyDescent="0.3">
      <c r="C1903" t="s">
        <v>229</v>
      </c>
      <c r="F1903">
        <v>-14.3</v>
      </c>
      <c r="G1903">
        <v>-6.9</v>
      </c>
      <c r="H1903">
        <v>-6.7</v>
      </c>
      <c r="I1903">
        <v>-7.9</v>
      </c>
    </row>
    <row r="1904" spans="1:9" x14ac:dyDescent="0.3">
      <c r="C1904" t="s">
        <v>525</v>
      </c>
      <c r="G1904">
        <v>2.8</v>
      </c>
      <c r="H1904">
        <v>7.4</v>
      </c>
      <c r="I1904">
        <v>10.199999999999999</v>
      </c>
    </row>
    <row r="1905" spans="1:9" x14ac:dyDescent="0.3">
      <c r="C1905" t="s">
        <v>230</v>
      </c>
      <c r="F1905">
        <v>-0.8</v>
      </c>
      <c r="G1905">
        <v>-15.5</v>
      </c>
      <c r="H1905">
        <v>-5.6</v>
      </c>
      <c r="I1905">
        <v>5.5</v>
      </c>
    </row>
    <row r="1906" spans="1:9" x14ac:dyDescent="0.3">
      <c r="C1906" t="s">
        <v>231</v>
      </c>
      <c r="F1906">
        <v>-22.8</v>
      </c>
      <c r="G1906">
        <v>15.3</v>
      </c>
      <c r="H1906">
        <v>-100.3</v>
      </c>
      <c r="I1906">
        <v>-79.2</v>
      </c>
    </row>
    <row r="1907" spans="1:9" x14ac:dyDescent="0.3">
      <c r="C1907" t="s">
        <v>232</v>
      </c>
      <c r="F1907">
        <v>-156.5</v>
      </c>
      <c r="G1907">
        <v>3.7</v>
      </c>
      <c r="H1907">
        <v>-52.3</v>
      </c>
      <c r="I1907">
        <v>-153.69999999999999</v>
      </c>
    </row>
    <row r="1908" spans="1:9" x14ac:dyDescent="0.3">
      <c r="C1908" t="s">
        <v>233</v>
      </c>
      <c r="F1908">
        <v>12</v>
      </c>
      <c r="G1908">
        <v>47.6</v>
      </c>
      <c r="H1908">
        <v>93.2</v>
      </c>
      <c r="I1908">
        <v>45.9</v>
      </c>
    </row>
    <row r="1909" spans="1:9" x14ac:dyDescent="0.3">
      <c r="C1909" t="s">
        <v>234</v>
      </c>
    </row>
    <row r="1910" spans="1:9" x14ac:dyDescent="0.3">
      <c r="C1910" t="s">
        <v>526</v>
      </c>
      <c r="H1910" s="47">
        <f>SUM(H1894:H1909)</f>
        <v>1376.5000000000007</v>
      </c>
      <c r="I1910" s="47">
        <f>SUM(I1894:I1909)</f>
        <v>1466.6999999999998</v>
      </c>
    </row>
    <row r="1916" spans="1:9" x14ac:dyDescent="0.3">
      <c r="B1916" s="2" t="s">
        <v>909</v>
      </c>
    </row>
    <row r="1917" spans="1:9" ht="23.4" x14ac:dyDescent="0.45">
      <c r="C1917" s="63" t="s">
        <v>369</v>
      </c>
    </row>
    <row r="1918" spans="1:9" x14ac:dyDescent="0.3">
      <c r="C1918" t="s">
        <v>382</v>
      </c>
      <c r="E1918">
        <f>SUM(E1921:E1922)</f>
        <v>217.5</v>
      </c>
      <c r="F1918">
        <f>SUM(F1921:F1922)</f>
        <v>208.1</v>
      </c>
      <c r="G1918">
        <f>SUM(G1921:G1922)</f>
        <v>212.60000000000002</v>
      </c>
      <c r="H1918">
        <f>SUM(H1921:H1922)</f>
        <v>259.10000000000002</v>
      </c>
      <c r="I1918">
        <f>SUM(I1921:I1922)</f>
        <v>270.5</v>
      </c>
    </row>
    <row r="1919" spans="1:9" x14ac:dyDescent="0.3">
      <c r="A1919" t="s">
        <v>532</v>
      </c>
    </row>
    <row r="1920" spans="1:9" x14ac:dyDescent="0.3">
      <c r="C1920" s="2" t="s">
        <v>368</v>
      </c>
    </row>
    <row r="1921" spans="1:9" x14ac:dyDescent="0.3">
      <c r="B1921" s="73"/>
      <c r="C1921" t="s">
        <v>370</v>
      </c>
      <c r="E1921">
        <v>103.7</v>
      </c>
      <c r="F1921">
        <v>100.5</v>
      </c>
      <c r="G1921">
        <v>94.9</v>
      </c>
      <c r="H1921">
        <v>114.5</v>
      </c>
      <c r="I1921">
        <v>116.8</v>
      </c>
    </row>
    <row r="1922" spans="1:9" x14ac:dyDescent="0.3">
      <c r="B1922" s="73"/>
      <c r="C1922" t="s">
        <v>371</v>
      </c>
      <c r="E1922">
        <v>113.8</v>
      </c>
      <c r="F1922">
        <v>107.6</v>
      </c>
      <c r="G1922">
        <v>117.7</v>
      </c>
      <c r="H1922">
        <v>144.6</v>
      </c>
      <c r="I1922">
        <v>153.69999999999999</v>
      </c>
    </row>
    <row r="1923" spans="1:9" x14ac:dyDescent="0.3">
      <c r="B1923" s="73"/>
      <c r="C1923" t="s">
        <v>372</v>
      </c>
      <c r="E1923">
        <v>3.1</v>
      </c>
      <c r="F1923">
        <v>0.5</v>
      </c>
      <c r="G1923">
        <v>0.7</v>
      </c>
      <c r="I1923">
        <v>2.1</v>
      </c>
    </row>
    <row r="1924" spans="1:9" x14ac:dyDescent="0.3">
      <c r="A1924" s="74"/>
      <c r="B1924" s="73"/>
      <c r="C1924" t="s">
        <v>373</v>
      </c>
      <c r="E1924">
        <v>-13.4</v>
      </c>
      <c r="F1924">
        <v>-17.7</v>
      </c>
      <c r="G1924">
        <v>-1.6</v>
      </c>
      <c r="I1924">
        <v>-16.3</v>
      </c>
    </row>
    <row r="1925" spans="1:9" x14ac:dyDescent="0.3">
      <c r="B1925" s="73"/>
      <c r="C1925" t="s">
        <v>383</v>
      </c>
      <c r="E1925">
        <v>-3.1</v>
      </c>
      <c r="F1925">
        <v>-2.7</v>
      </c>
      <c r="G1925">
        <v>1.7</v>
      </c>
      <c r="H1925">
        <v>3.4</v>
      </c>
      <c r="I1925">
        <v>0.3</v>
      </c>
    </row>
    <row r="1926" spans="1:9" x14ac:dyDescent="0.3">
      <c r="B1926" s="73"/>
      <c r="C1926" t="s">
        <v>384</v>
      </c>
      <c r="E1926">
        <v>-1.2</v>
      </c>
      <c r="F1926">
        <v>-34.9</v>
      </c>
      <c r="G1926">
        <v>-5.9</v>
      </c>
      <c r="H1926">
        <v>-1.7</v>
      </c>
      <c r="I1926">
        <v>3.8</v>
      </c>
    </row>
    <row r="1927" spans="1:9" x14ac:dyDescent="0.3">
      <c r="B1927" s="73"/>
      <c r="C1927" t="s">
        <v>379</v>
      </c>
      <c r="G1927">
        <v>8.3000000000000007</v>
      </c>
      <c r="H1927">
        <v>22.6</v>
      </c>
      <c r="I1927">
        <v>22.8</v>
      </c>
    </row>
    <row r="1928" spans="1:9" x14ac:dyDescent="0.3">
      <c r="B1928" s="73"/>
      <c r="C1928" t="s">
        <v>380</v>
      </c>
      <c r="G1928">
        <v>30.1</v>
      </c>
      <c r="H1928">
        <v>32.6</v>
      </c>
      <c r="I1928">
        <v>36.299999999999997</v>
      </c>
    </row>
    <row r="1929" spans="1:9" x14ac:dyDescent="0.3">
      <c r="B1929" s="73"/>
      <c r="C1929" t="s">
        <v>227</v>
      </c>
      <c r="E1929">
        <v>4.3</v>
      </c>
      <c r="F1929">
        <v>12.5</v>
      </c>
    </row>
    <row r="1930" spans="1:9" x14ac:dyDescent="0.3">
      <c r="A1930" s="74"/>
      <c r="C1930" t="s">
        <v>374</v>
      </c>
      <c r="E1930">
        <v>-3.8</v>
      </c>
      <c r="F1930">
        <v>-1.4</v>
      </c>
      <c r="G1930">
        <v>-2.5</v>
      </c>
      <c r="H1930">
        <v>-5</v>
      </c>
      <c r="I1930">
        <v>-1</v>
      </c>
    </row>
    <row r="1931" spans="1:9" x14ac:dyDescent="0.3">
      <c r="A1931" s="74"/>
      <c r="C1931" t="s">
        <v>381</v>
      </c>
      <c r="E1931">
        <v>-2.5</v>
      </c>
      <c r="F1931">
        <v>16.3</v>
      </c>
      <c r="G1931">
        <v>-12.3</v>
      </c>
      <c r="H1931">
        <v>-3.4</v>
      </c>
      <c r="I1931">
        <v>3.4</v>
      </c>
    </row>
    <row r="1932" spans="1:9" x14ac:dyDescent="0.3">
      <c r="C1932" t="s">
        <v>375</v>
      </c>
      <c r="E1932">
        <v>4.0999999999999996</v>
      </c>
      <c r="F1932">
        <v>26.9</v>
      </c>
    </row>
    <row r="1933" spans="1:9" x14ac:dyDescent="0.3">
      <c r="C1933" t="s">
        <v>376</v>
      </c>
      <c r="E1933">
        <v>-16.2</v>
      </c>
    </row>
    <row r="1935" spans="1:9" x14ac:dyDescent="0.3">
      <c r="C1935" t="s">
        <v>377</v>
      </c>
      <c r="E1935">
        <v>1674.6</v>
      </c>
      <c r="F1935">
        <v>1785.4</v>
      </c>
      <c r="G1935">
        <v>1809.2</v>
      </c>
      <c r="H1935">
        <v>1909.3</v>
      </c>
      <c r="I1935">
        <v>2123.6</v>
      </c>
    </row>
    <row r="1936" spans="1:9" x14ac:dyDescent="0.3">
      <c r="C1936" t="s">
        <v>378</v>
      </c>
      <c r="E1936">
        <v>102.4</v>
      </c>
      <c r="F1936">
        <v>152.4</v>
      </c>
      <c r="G1936">
        <v>125.8</v>
      </c>
      <c r="H1936">
        <v>153.4</v>
      </c>
      <c r="I1936">
        <v>162.1</v>
      </c>
    </row>
    <row r="1938" spans="1:9" x14ac:dyDescent="0.3">
      <c r="B1938" t="s">
        <v>533</v>
      </c>
    </row>
    <row r="1939" spans="1:9" x14ac:dyDescent="0.3">
      <c r="C1939" s="2" t="s">
        <v>223</v>
      </c>
    </row>
    <row r="1940" spans="1:9" x14ac:dyDescent="0.3">
      <c r="C1940" t="s">
        <v>132</v>
      </c>
      <c r="E1940">
        <v>905.4</v>
      </c>
      <c r="F1940">
        <f>F1894</f>
        <v>941.5</v>
      </c>
      <c r="G1940">
        <f>G1894</f>
        <v>987.9</v>
      </c>
      <c r="H1940">
        <f>H1894</f>
        <v>1075.4000000000001</v>
      </c>
      <c r="I1940">
        <f>I1894</f>
        <v>1278.8</v>
      </c>
    </row>
    <row r="1941" spans="1:9" x14ac:dyDescent="0.3">
      <c r="A1941" s="74"/>
      <c r="C1941" t="s">
        <v>224</v>
      </c>
      <c r="I1941">
        <f>I1896</f>
        <v>-16.3</v>
      </c>
    </row>
    <row r="1942" spans="1:9" x14ac:dyDescent="0.3">
      <c r="C1942" t="s">
        <v>225</v>
      </c>
      <c r="E1942">
        <v>90.3</v>
      </c>
      <c r="F1942">
        <v>80.599999999999994</v>
      </c>
      <c r="G1942">
        <f>G1895</f>
        <v>95.7</v>
      </c>
      <c r="H1942">
        <f>H1895</f>
        <v>117.9</v>
      </c>
      <c r="I1942">
        <f>I1895</f>
        <v>119.2</v>
      </c>
    </row>
    <row r="1943" spans="1:9" x14ac:dyDescent="0.3">
      <c r="C1943" t="s">
        <v>226</v>
      </c>
      <c r="E1943">
        <v>112.6</v>
      </c>
      <c r="F1943">
        <v>72.7</v>
      </c>
      <c r="G1943">
        <f>G1898</f>
        <v>111.8</v>
      </c>
      <c r="H1943">
        <f>H1898</f>
        <v>137.9</v>
      </c>
      <c r="I1943">
        <f>I1898</f>
        <v>156.4</v>
      </c>
    </row>
    <row r="1944" spans="1:9" x14ac:dyDescent="0.3">
      <c r="C1944" t="s">
        <v>227</v>
      </c>
      <c r="E1944">
        <v>4.3</v>
      </c>
      <c r="F1944">
        <v>12.5</v>
      </c>
      <c r="G1944">
        <f t="shared" ref="G1944:I1947" si="16">G1900</f>
        <v>38.5</v>
      </c>
      <c r="H1944">
        <f t="shared" si="16"/>
        <v>55.2</v>
      </c>
      <c r="I1944">
        <f t="shared" si="16"/>
        <v>59.1</v>
      </c>
    </row>
    <row r="1945" spans="1:9" x14ac:dyDescent="0.3">
      <c r="C1945" t="s">
        <v>502</v>
      </c>
      <c r="F1945">
        <v>1.1000000000000001</v>
      </c>
      <c r="G1945">
        <f t="shared" si="16"/>
        <v>0.8</v>
      </c>
      <c r="H1945">
        <f t="shared" si="16"/>
        <v>13.5</v>
      </c>
      <c r="I1945">
        <f t="shared" si="16"/>
        <v>5.6</v>
      </c>
    </row>
    <row r="1946" spans="1:9" x14ac:dyDescent="0.3">
      <c r="B1946" s="75"/>
      <c r="C1946" t="s">
        <v>228</v>
      </c>
      <c r="E1946">
        <v>19.899999999999999</v>
      </c>
      <c r="F1946">
        <v>24.3</v>
      </c>
      <c r="G1946">
        <f t="shared" si="16"/>
        <v>31.9</v>
      </c>
      <c r="H1946">
        <f t="shared" si="16"/>
        <v>40.9</v>
      </c>
      <c r="I1946">
        <f t="shared" si="16"/>
        <v>43.1</v>
      </c>
    </row>
    <row r="1947" spans="1:9" x14ac:dyDescent="0.3">
      <c r="B1947" s="75"/>
      <c r="C1947" t="s">
        <v>229</v>
      </c>
      <c r="E1947">
        <v>-4.8</v>
      </c>
      <c r="F1947">
        <f>F1903</f>
        <v>-14.3</v>
      </c>
      <c r="G1947">
        <f t="shared" si="16"/>
        <v>-6.9</v>
      </c>
      <c r="H1947">
        <f t="shared" si="16"/>
        <v>-6.7</v>
      </c>
      <c r="I1947">
        <f t="shared" si="16"/>
        <v>-7.9</v>
      </c>
    </row>
    <row r="1948" spans="1:9" x14ac:dyDescent="0.3">
      <c r="B1948" s="75"/>
      <c r="C1948" t="s">
        <v>230</v>
      </c>
      <c r="E1948">
        <v>-1.6</v>
      </c>
      <c r="F1948">
        <v>-0.8</v>
      </c>
      <c r="G1948">
        <f t="shared" ref="G1948:I1951" si="17">G1905</f>
        <v>-15.5</v>
      </c>
      <c r="H1948">
        <f t="shared" si="17"/>
        <v>-5.6</v>
      </c>
      <c r="I1948">
        <f t="shared" si="17"/>
        <v>5.5</v>
      </c>
    </row>
    <row r="1949" spans="1:9" x14ac:dyDescent="0.3">
      <c r="B1949" s="75"/>
      <c r="C1949" t="s">
        <v>231</v>
      </c>
      <c r="E1949">
        <v>-96.5</v>
      </c>
      <c r="F1949">
        <v>-22.8</v>
      </c>
      <c r="G1949">
        <f t="shared" si="17"/>
        <v>15.3</v>
      </c>
      <c r="H1949">
        <f t="shared" si="17"/>
        <v>-100.3</v>
      </c>
      <c r="I1949">
        <f t="shared" si="17"/>
        <v>-79.2</v>
      </c>
    </row>
    <row r="1950" spans="1:9" x14ac:dyDescent="0.3">
      <c r="B1950" s="75"/>
      <c r="C1950" t="s">
        <v>232</v>
      </c>
      <c r="E1950">
        <v>-165.4</v>
      </c>
      <c r="F1950">
        <v>-156.5</v>
      </c>
      <c r="G1950">
        <f t="shared" si="17"/>
        <v>3.7</v>
      </c>
      <c r="H1950">
        <f t="shared" si="17"/>
        <v>-52.3</v>
      </c>
      <c r="I1950">
        <f t="shared" si="17"/>
        <v>-153.69999999999999</v>
      </c>
    </row>
    <row r="1951" spans="1:9" x14ac:dyDescent="0.3">
      <c r="B1951" s="75"/>
      <c r="C1951" t="s">
        <v>233</v>
      </c>
      <c r="E1951">
        <v>235.2</v>
      </c>
      <c r="F1951">
        <v>12</v>
      </c>
      <c r="G1951">
        <f t="shared" si="17"/>
        <v>47.6</v>
      </c>
      <c r="H1951">
        <f t="shared" si="17"/>
        <v>93.2</v>
      </c>
      <c r="I1951">
        <f t="shared" si="17"/>
        <v>45.9</v>
      </c>
    </row>
    <row r="1952" spans="1:9" x14ac:dyDescent="0.3">
      <c r="C1952" t="s">
        <v>234</v>
      </c>
      <c r="E1952">
        <v>-2.7</v>
      </c>
    </row>
    <row r="1953" spans="1:9" x14ac:dyDescent="0.3">
      <c r="C1953" t="s">
        <v>87</v>
      </c>
      <c r="G1953">
        <f>G1904</f>
        <v>2.8</v>
      </c>
      <c r="H1953">
        <f>H1904</f>
        <v>7.4</v>
      </c>
      <c r="I1953">
        <f>I1904</f>
        <v>10.199999999999999</v>
      </c>
    </row>
    <row r="1954" spans="1:9" x14ac:dyDescent="0.3">
      <c r="E1954">
        <f>SUM(E1940:E1953)</f>
        <v>1096.7</v>
      </c>
      <c r="F1954">
        <f>SUM(F1940:F1953)</f>
        <v>950.3</v>
      </c>
      <c r="G1954">
        <f>SUM(G1940:G1953)</f>
        <v>1313.5999999999997</v>
      </c>
      <c r="H1954">
        <f>SUM(H1940:H1953)</f>
        <v>1376.5000000000007</v>
      </c>
      <c r="I1954">
        <f>SUM(I1940:I1953)</f>
        <v>1466.6999999999998</v>
      </c>
    </row>
    <row r="1955" spans="1:9" x14ac:dyDescent="0.3">
      <c r="C1955" s="2" t="s">
        <v>183</v>
      </c>
      <c r="E1955" s="47">
        <f>SUM(E1940:E1952)</f>
        <v>1096.7</v>
      </c>
      <c r="F1955" s="47">
        <v>950.3</v>
      </c>
      <c r="G1955" s="47">
        <v>1313.6</v>
      </c>
      <c r="H1955" s="47">
        <v>1376.5</v>
      </c>
      <c r="I1955" s="47">
        <v>1466.7</v>
      </c>
    </row>
    <row r="1958" spans="1:9" x14ac:dyDescent="0.3">
      <c r="F1958">
        <f>(F1714+F1713)-(E1713+E1714)</f>
        <v>160.80000000000018</v>
      </c>
    </row>
    <row r="1959" spans="1:9" x14ac:dyDescent="0.3">
      <c r="C1959" t="s">
        <v>231</v>
      </c>
      <c r="F1959">
        <f>('HISTORICAL FS'!E123-'HISTORICAL FS'!F123)+('HISTORICAL FS'!E125-'HISTORICAL FS'!F125)</f>
        <v>-37.100000000000051</v>
      </c>
    </row>
    <row r="1960" spans="1:9" x14ac:dyDescent="0.3">
      <c r="C1960" t="s">
        <v>232</v>
      </c>
      <c r="F1960">
        <f>F1517-E1517</f>
        <v>144.60000000000014</v>
      </c>
    </row>
    <row r="1961" spans="1:9" x14ac:dyDescent="0.3">
      <c r="C1961" t="s">
        <v>233</v>
      </c>
    </row>
    <row r="1962" spans="1:9" x14ac:dyDescent="0.3">
      <c r="C1962" t="s">
        <v>234</v>
      </c>
    </row>
    <row r="1964" spans="1:9" x14ac:dyDescent="0.3">
      <c r="A1964" s="2" t="s">
        <v>909</v>
      </c>
    </row>
    <row r="1966" spans="1:9" x14ac:dyDescent="0.3">
      <c r="A1966" s="72" t="s">
        <v>514</v>
      </c>
      <c r="B1966" s="4" t="s">
        <v>515</v>
      </c>
      <c r="C1966" s="2" t="s">
        <v>223</v>
      </c>
    </row>
    <row r="1967" spans="1:9" x14ac:dyDescent="0.3">
      <c r="C1967" t="s">
        <v>132</v>
      </c>
      <c r="E1967">
        <f>E764</f>
        <v>905.39999999999941</v>
      </c>
      <c r="F1967">
        <f>F764</f>
        <v>941.49999999999932</v>
      </c>
      <c r="G1967">
        <f>G764</f>
        <v>987.9</v>
      </c>
      <c r="H1967">
        <f>H764</f>
        <v>1075.3999999999994</v>
      </c>
      <c r="I1967">
        <f>I764</f>
        <v>1278.8000000000002</v>
      </c>
    </row>
    <row r="1968" spans="1:9" x14ac:dyDescent="0.3">
      <c r="B1968" s="3"/>
      <c r="C1968" t="s">
        <v>225</v>
      </c>
      <c r="E1968">
        <v>90.3</v>
      </c>
      <c r="F1968">
        <v>80.599999999999994</v>
      </c>
    </row>
    <row r="1969" spans="2:9" x14ac:dyDescent="0.3">
      <c r="B1969" s="3"/>
      <c r="C1969" t="s">
        <v>226</v>
      </c>
      <c r="E1969">
        <v>112.6</v>
      </c>
      <c r="F1969">
        <v>72.7</v>
      </c>
    </row>
    <row r="1970" spans="2:9" x14ac:dyDescent="0.3">
      <c r="B1970" s="3"/>
      <c r="C1970" t="s">
        <v>227</v>
      </c>
      <c r="E1970">
        <v>4.3</v>
      </c>
      <c r="F1970">
        <v>12.5</v>
      </c>
    </row>
    <row r="1971" spans="2:9" x14ac:dyDescent="0.3">
      <c r="C1971" t="s">
        <v>502</v>
      </c>
      <c r="F1971">
        <v>1.1000000000000001</v>
      </c>
    </row>
    <row r="1972" spans="2:9" x14ac:dyDescent="0.3">
      <c r="B1972" s="4"/>
      <c r="C1972" t="s">
        <v>228</v>
      </c>
      <c r="E1972">
        <v>19.899999999999999</v>
      </c>
      <c r="F1972">
        <v>24.3</v>
      </c>
      <c r="G1972">
        <f>-G1879</f>
        <v>31.9</v>
      </c>
      <c r="H1972">
        <f>-H1879</f>
        <v>38.700000000000003</v>
      </c>
      <c r="I1972">
        <f>-I1879</f>
        <v>47.3</v>
      </c>
    </row>
    <row r="1973" spans="2:9" x14ac:dyDescent="0.3">
      <c r="B1973" s="4"/>
      <c r="C1973" t="s">
        <v>229</v>
      </c>
      <c r="E1973">
        <f>-E761</f>
        <v>-4.8</v>
      </c>
      <c r="F1973">
        <f>-F761</f>
        <v>-14.3</v>
      </c>
      <c r="G1973">
        <f>-G761</f>
        <v>-6.9</v>
      </c>
      <c r="H1973">
        <f>-H761</f>
        <v>-6.7</v>
      </c>
      <c r="I1973">
        <f>-I761</f>
        <v>-7.9</v>
      </c>
    </row>
    <row r="1974" spans="2:9" x14ac:dyDescent="0.3">
      <c r="C1974" t="s">
        <v>230</v>
      </c>
      <c r="E1974">
        <v>-1.6</v>
      </c>
      <c r="F1974">
        <v>-0.8</v>
      </c>
    </row>
    <row r="1975" spans="2:9" x14ac:dyDescent="0.3">
      <c r="C1975" t="s">
        <v>231</v>
      </c>
      <c r="E1975">
        <v>-96.5</v>
      </c>
      <c r="F1975">
        <v>-22.8</v>
      </c>
    </row>
    <row r="1976" spans="2:9" x14ac:dyDescent="0.3">
      <c r="C1976" t="s">
        <v>232</v>
      </c>
      <c r="E1976">
        <v>-165.4</v>
      </c>
      <c r="F1976">
        <v>-156.5</v>
      </c>
    </row>
    <row r="1977" spans="2:9" x14ac:dyDescent="0.3">
      <c r="C1977" t="s">
        <v>233</v>
      </c>
      <c r="E1977">
        <v>235.2</v>
      </c>
      <c r="F1977">
        <v>12</v>
      </c>
    </row>
    <row r="1978" spans="2:9" x14ac:dyDescent="0.3">
      <c r="C1978" t="s">
        <v>234</v>
      </c>
      <c r="E1978">
        <v>-2.7</v>
      </c>
    </row>
    <row r="1979" spans="2:9" x14ac:dyDescent="0.3">
      <c r="C1979" t="s">
        <v>516</v>
      </c>
    </row>
    <row r="1980" spans="2:9" x14ac:dyDescent="0.3">
      <c r="E1980">
        <f>SUM(E1967:E1978)</f>
        <v>1096.6999999999994</v>
      </c>
      <c r="F1980">
        <f>SUM(F1967:F1978)</f>
        <v>950.29999999999927</v>
      </c>
    </row>
    <row r="1983" spans="2:9" x14ac:dyDescent="0.3">
      <c r="C1983" s="2" t="s">
        <v>135</v>
      </c>
    </row>
    <row r="1984" spans="2:9" x14ac:dyDescent="0.3">
      <c r="C1984" t="s">
        <v>519</v>
      </c>
      <c r="E1984">
        <f>E1924+E1923+E1921+E1925</f>
        <v>90.300000000000011</v>
      </c>
      <c r="F1984">
        <f>F1924+F1923+F1921+F1925</f>
        <v>80.599999999999994</v>
      </c>
      <c r="G1984">
        <f>G1924+G1923+G1921+G1925</f>
        <v>95.7</v>
      </c>
      <c r="H1984">
        <f>H1924+H1923+H1921+H1925</f>
        <v>117.9</v>
      </c>
      <c r="I1984">
        <f>I1924+I1923+I1921+I1925</f>
        <v>102.89999999999999</v>
      </c>
    </row>
    <row r="1985" spans="2:10" x14ac:dyDescent="0.3">
      <c r="C1985" s="2" t="s">
        <v>280</v>
      </c>
    </row>
    <row r="1986" spans="2:10" x14ac:dyDescent="0.3">
      <c r="C1986" t="s">
        <v>520</v>
      </c>
      <c r="E1986">
        <f>E1922+E1926</f>
        <v>112.6</v>
      </c>
      <c r="F1986">
        <f>F1922+F1926</f>
        <v>72.699999999999989</v>
      </c>
      <c r="G1986">
        <f>G1922+G1926</f>
        <v>111.8</v>
      </c>
      <c r="H1986">
        <f>H1922+H1926</f>
        <v>142.9</v>
      </c>
      <c r="I1986">
        <f>I1922+I1926</f>
        <v>157.5</v>
      </c>
    </row>
    <row r="1987" spans="2:10" x14ac:dyDescent="0.3">
      <c r="C1987" s="2" t="s">
        <v>521</v>
      </c>
    </row>
    <row r="1988" spans="2:10" x14ac:dyDescent="0.3">
      <c r="C1988" t="s">
        <v>522</v>
      </c>
      <c r="E1988">
        <f>E1929</f>
        <v>4.3</v>
      </c>
      <c r="F1988">
        <f>F1929</f>
        <v>12.5</v>
      </c>
      <c r="G1988">
        <f>G1927+G1928</f>
        <v>38.400000000000006</v>
      </c>
      <c r="H1988">
        <f>H1927+H1928</f>
        <v>55.2</v>
      </c>
      <c r="I1988">
        <f>I1927+I1928</f>
        <v>59.099999999999994</v>
      </c>
    </row>
    <row r="1989" spans="2:10" x14ac:dyDescent="0.3">
      <c r="C1989" s="2" t="s">
        <v>534</v>
      </c>
    </row>
    <row r="1990" spans="2:10" x14ac:dyDescent="0.3">
      <c r="E1990">
        <f>E1930+E1865+E1866</f>
        <v>-3.5</v>
      </c>
      <c r="F1990">
        <f>-F1930+-F1865+-F1866</f>
        <v>0.39999999999999991</v>
      </c>
    </row>
    <row r="1991" spans="2:10" x14ac:dyDescent="0.3">
      <c r="F1991">
        <f>F1971-F1990</f>
        <v>0.70000000000000018</v>
      </c>
    </row>
    <row r="1993" spans="2:10" x14ac:dyDescent="0.3">
      <c r="B1993" s="2" t="s">
        <v>909</v>
      </c>
    </row>
    <row r="1994" spans="2:10" ht="25.8" x14ac:dyDescent="0.5">
      <c r="C1994" s="92" t="s">
        <v>552</v>
      </c>
    </row>
    <row r="1995" spans="2:10" x14ac:dyDescent="0.3">
      <c r="B1995" t="s">
        <v>553</v>
      </c>
      <c r="C1995" t="str">
        <f>C1946</f>
        <v>Share option charge</v>
      </c>
      <c r="E1995">
        <f>E1946</f>
        <v>19.899999999999999</v>
      </c>
      <c r="F1995">
        <f>F1946</f>
        <v>24.3</v>
      </c>
      <c r="G1995">
        <f>G1946</f>
        <v>31.9</v>
      </c>
      <c r="H1995">
        <f>H1946</f>
        <v>40.9</v>
      </c>
      <c r="I1995">
        <f>I1946</f>
        <v>43.1</v>
      </c>
    </row>
    <row r="1996" spans="2:10" x14ac:dyDescent="0.3">
      <c r="B1996" t="s">
        <v>554</v>
      </c>
      <c r="C1996" s="2" t="str">
        <f>C1942</f>
        <v>Depreciation, impairment and (profit)/loss on disposal of property, plant and equipment</v>
      </c>
      <c r="E1996" s="2">
        <f>E1942+E1941</f>
        <v>90.3</v>
      </c>
      <c r="F1996" s="2">
        <f>F1942+F1941</f>
        <v>80.599999999999994</v>
      </c>
      <c r="G1996" s="2">
        <f>G1942+G1941</f>
        <v>95.7</v>
      </c>
      <c r="H1996" s="2">
        <f>H1942+H1941</f>
        <v>117.9</v>
      </c>
      <c r="I1996" s="2">
        <f>I1942+I1941</f>
        <v>102.9</v>
      </c>
      <c r="J1996" s="2"/>
    </row>
    <row r="1997" spans="2:10" x14ac:dyDescent="0.3">
      <c r="C1997" t="s">
        <v>279</v>
      </c>
      <c r="E1997">
        <f>E1921</f>
        <v>103.7</v>
      </c>
      <c r="F1997">
        <f>F1921</f>
        <v>100.5</v>
      </c>
      <c r="G1997">
        <f>G1921</f>
        <v>94.9</v>
      </c>
      <c r="H1997">
        <f>H1921</f>
        <v>114.5</v>
      </c>
      <c r="I1997">
        <f>I1921</f>
        <v>116.8</v>
      </c>
    </row>
    <row r="1998" spans="2:10" x14ac:dyDescent="0.3">
      <c r="C1998" t="s">
        <v>290</v>
      </c>
      <c r="E1998">
        <f>E1925</f>
        <v>-3.1</v>
      </c>
      <c r="F1998">
        <f>F1925</f>
        <v>-2.7</v>
      </c>
      <c r="G1998">
        <f>G1925</f>
        <v>1.7</v>
      </c>
      <c r="H1998">
        <f>H1925</f>
        <v>3.4</v>
      </c>
      <c r="I1998">
        <f>I1925</f>
        <v>0.3</v>
      </c>
    </row>
    <row r="1999" spans="2:10" x14ac:dyDescent="0.3">
      <c r="C1999" t="s">
        <v>559</v>
      </c>
      <c r="E1999">
        <f>E1924</f>
        <v>-13.4</v>
      </c>
      <c r="F1999">
        <f>F1924</f>
        <v>-17.7</v>
      </c>
      <c r="G1999">
        <f>G1924</f>
        <v>-1.6</v>
      </c>
      <c r="I1999">
        <f>I1924</f>
        <v>-16.3</v>
      </c>
    </row>
    <row r="2000" spans="2:10" x14ac:dyDescent="0.3">
      <c r="C2000" t="s">
        <v>560</v>
      </c>
      <c r="E2000">
        <f>E1923</f>
        <v>3.1</v>
      </c>
      <c r="F2000">
        <f>F1923</f>
        <v>0.5</v>
      </c>
      <c r="G2000">
        <f>G1923</f>
        <v>0.7</v>
      </c>
      <c r="I2000">
        <f>I1923</f>
        <v>2.1</v>
      </c>
    </row>
    <row r="2001" spans="2:9" x14ac:dyDescent="0.3">
      <c r="C2001" s="2" t="s">
        <v>113</v>
      </c>
      <c r="E2001" s="47">
        <f>SUM(E1997:E2000)</f>
        <v>90.3</v>
      </c>
      <c r="F2001" s="47">
        <f>SUM(F1997:F2000)</f>
        <v>80.599999999999994</v>
      </c>
      <c r="G2001" s="47">
        <f>SUM(G1997:G2000)</f>
        <v>95.700000000000017</v>
      </c>
      <c r="H2001" s="47">
        <f>SUM(H1997:H2000)</f>
        <v>117.9</v>
      </c>
      <c r="I2001" s="47">
        <f>SUM(I1997:I2000)</f>
        <v>102.89999999999999</v>
      </c>
    </row>
    <row r="2002" spans="2:9" x14ac:dyDescent="0.3">
      <c r="C2002" t="s">
        <v>564</v>
      </c>
      <c r="E2002">
        <f>E1999+E2000</f>
        <v>-10.3</v>
      </c>
      <c r="F2002">
        <f>F1999+F2000</f>
        <v>-17.2</v>
      </c>
      <c r="G2002">
        <f>G1999+G2000</f>
        <v>-0.90000000000000013</v>
      </c>
      <c r="H2002">
        <f>H1999+H2000</f>
        <v>0</v>
      </c>
      <c r="I2002">
        <f>I1999+I2000</f>
        <v>-14.200000000000001</v>
      </c>
    </row>
    <row r="2003" spans="2:9" x14ac:dyDescent="0.3">
      <c r="C2003" s="2"/>
      <c r="E2003" s="2"/>
      <c r="F2003" s="2"/>
      <c r="G2003" s="2"/>
      <c r="H2003" s="2"/>
      <c r="I2003" s="2"/>
    </row>
    <row r="2004" spans="2:9" x14ac:dyDescent="0.3">
      <c r="B2004" t="s">
        <v>555</v>
      </c>
      <c r="C2004" s="2" t="str">
        <f>C1943</f>
        <v>Depreciation and impairment on right-of-use assets</v>
      </c>
      <c r="E2004" s="2">
        <f>E1943</f>
        <v>112.6</v>
      </c>
      <c r="F2004" s="2">
        <f>F1943</f>
        <v>72.7</v>
      </c>
      <c r="G2004" s="2">
        <f>G1943</f>
        <v>111.8</v>
      </c>
      <c r="H2004" s="2">
        <f>H1943</f>
        <v>137.9</v>
      </c>
      <c r="I2004" s="2">
        <f>I1943</f>
        <v>156.4</v>
      </c>
    </row>
    <row r="2005" spans="2:9" x14ac:dyDescent="0.3">
      <c r="C2005" t="s">
        <v>279</v>
      </c>
      <c r="E2005">
        <f>E1922</f>
        <v>113.8</v>
      </c>
      <c r="F2005">
        <f>F1922</f>
        <v>107.6</v>
      </c>
      <c r="G2005">
        <f>G1922</f>
        <v>117.7</v>
      </c>
      <c r="H2005">
        <f>H1922</f>
        <v>144.6</v>
      </c>
      <c r="I2005">
        <f>I1922</f>
        <v>153.69999999999999</v>
      </c>
    </row>
    <row r="2006" spans="2:9" x14ac:dyDescent="0.3">
      <c r="C2006" t="s">
        <v>290</v>
      </c>
      <c r="E2006">
        <f>E1926</f>
        <v>-1.2</v>
      </c>
      <c r="F2006">
        <f>F1926</f>
        <v>-34.9</v>
      </c>
      <c r="G2006">
        <f>G1926</f>
        <v>-5.9</v>
      </c>
      <c r="H2006">
        <f>H1926</f>
        <v>-1.7</v>
      </c>
      <c r="I2006">
        <f>I1926</f>
        <v>3.8</v>
      </c>
    </row>
    <row r="2007" spans="2:9" x14ac:dyDescent="0.3">
      <c r="C2007" t="str">
        <f>C1930</f>
        <v>Gain on lease modifications, early exit and reassessed lease term</v>
      </c>
      <c r="E2007">
        <f>E1930</f>
        <v>-3.8</v>
      </c>
      <c r="F2007">
        <f>F1930</f>
        <v>-1.4</v>
      </c>
      <c r="G2007">
        <f>G1930</f>
        <v>-2.5</v>
      </c>
      <c r="H2007">
        <f>H1930</f>
        <v>-5</v>
      </c>
      <c r="I2007">
        <f>I1930</f>
        <v>-1</v>
      </c>
    </row>
    <row r="2009" spans="2:9" x14ac:dyDescent="0.3">
      <c r="E2009" s="46">
        <f>SUM(E2005:E2007)</f>
        <v>108.8</v>
      </c>
      <c r="F2009" s="46">
        <f>SUM(F2005:F2007)</f>
        <v>71.299999999999983</v>
      </c>
      <c r="G2009" s="46">
        <f>SUM(G2005:G2007)</f>
        <v>109.3</v>
      </c>
      <c r="H2009" s="46">
        <f>SUM(H2005:H2007)</f>
        <v>137.9</v>
      </c>
      <c r="I2009" s="46">
        <f>SUM(I2005:I2007)</f>
        <v>156.5</v>
      </c>
    </row>
    <row r="2010" spans="2:9" x14ac:dyDescent="0.3">
      <c r="C2010" t="s">
        <v>353</v>
      </c>
      <c r="E2010">
        <f>E2004-E2009</f>
        <v>3.7999999999999972</v>
      </c>
      <c r="F2010">
        <f>F2004-F2009</f>
        <v>1.4000000000000199</v>
      </c>
      <c r="G2010">
        <f>G2004-G2009</f>
        <v>2.5</v>
      </c>
      <c r="H2010">
        <f>H2004-H2009</f>
        <v>0</v>
      </c>
      <c r="I2010">
        <f>I2004-I2009</f>
        <v>-9.9999999999994316E-2</v>
      </c>
    </row>
    <row r="2011" spans="2:9" x14ac:dyDescent="0.3">
      <c r="C2011" t="s">
        <v>113</v>
      </c>
      <c r="E2011" s="47">
        <f>E2009+E2010</f>
        <v>112.6</v>
      </c>
      <c r="F2011" s="47">
        <f>F2009+F2010</f>
        <v>72.7</v>
      </c>
      <c r="G2011" s="47">
        <f>G2009+G2010</f>
        <v>111.8</v>
      </c>
      <c r="H2011" s="47">
        <f>H2009+H2010</f>
        <v>137.9</v>
      </c>
      <c r="I2011" s="47">
        <f>I2009+I2010</f>
        <v>156.4</v>
      </c>
    </row>
    <row r="2012" spans="2:9" x14ac:dyDescent="0.3">
      <c r="C2012" s="2" t="s">
        <v>565</v>
      </c>
      <c r="E2012">
        <f>E2010+E2007</f>
        <v>0</v>
      </c>
      <c r="F2012">
        <f>F2010+F2007</f>
        <v>1.9984014443252818E-14</v>
      </c>
      <c r="G2012">
        <f>G2010+G2007</f>
        <v>0</v>
      </c>
      <c r="H2012">
        <f>H2010+H2007</f>
        <v>-5</v>
      </c>
      <c r="I2012">
        <f>I2010+I2007</f>
        <v>-1.0999999999999943</v>
      </c>
    </row>
    <row r="2014" spans="2:9" x14ac:dyDescent="0.3">
      <c r="B2014" t="s">
        <v>556</v>
      </c>
      <c r="C2014" s="2" t="str">
        <f>C1944</f>
        <v>Amortisation and impairment of intangible assets</v>
      </c>
      <c r="E2014" s="2">
        <f>E1944</f>
        <v>4.3</v>
      </c>
      <c r="F2014" s="2">
        <f>F1944</f>
        <v>12.5</v>
      </c>
      <c r="G2014" s="2">
        <f>G1944</f>
        <v>38.5</v>
      </c>
      <c r="H2014" s="2">
        <f>H1944</f>
        <v>55.2</v>
      </c>
      <c r="I2014" s="2">
        <f>I1944</f>
        <v>59.1</v>
      </c>
    </row>
    <row r="2015" spans="2:9" x14ac:dyDescent="0.3">
      <c r="C2015" s="2" t="s">
        <v>281</v>
      </c>
      <c r="E2015" s="2"/>
      <c r="F2015" s="2"/>
      <c r="G2015" s="2"/>
      <c r="H2015" s="2"/>
      <c r="I2015" s="2"/>
    </row>
    <row r="2016" spans="2:9" x14ac:dyDescent="0.3">
      <c r="C2016" t="str">
        <f>C1831</f>
        <v>Intangible</v>
      </c>
      <c r="E2016">
        <f t="shared" ref="E2016:I2018" si="18">E1831</f>
        <v>0</v>
      </c>
      <c r="F2016">
        <f t="shared" si="18"/>
        <v>4.3</v>
      </c>
      <c r="G2016">
        <f t="shared" si="18"/>
        <v>9.8000000000000007</v>
      </c>
      <c r="H2016">
        <f t="shared" si="18"/>
        <v>19</v>
      </c>
      <c r="I2016">
        <f t="shared" si="18"/>
        <v>18.399999999999999</v>
      </c>
    </row>
    <row r="2017" spans="2:9" x14ac:dyDescent="0.3">
      <c r="C2017" t="str">
        <f>C1832</f>
        <v>software</v>
      </c>
      <c r="E2017">
        <f t="shared" si="18"/>
        <v>3.1</v>
      </c>
      <c r="F2017">
        <f t="shared" si="18"/>
        <v>11.5</v>
      </c>
      <c r="G2017">
        <f t="shared" si="18"/>
        <v>28</v>
      </c>
      <c r="H2017">
        <f t="shared" si="18"/>
        <v>29.8</v>
      </c>
      <c r="I2017">
        <f t="shared" si="18"/>
        <v>32</v>
      </c>
    </row>
    <row r="2018" spans="2:9" x14ac:dyDescent="0.3">
      <c r="C2018" t="str">
        <f>C1833</f>
        <v>Total</v>
      </c>
      <c r="E2018" s="47">
        <f t="shared" si="18"/>
        <v>3.1</v>
      </c>
      <c r="F2018" s="47">
        <f t="shared" si="18"/>
        <v>15.8</v>
      </c>
      <c r="G2018" s="47">
        <f t="shared" si="18"/>
        <v>37.799999999999997</v>
      </c>
      <c r="H2018" s="47">
        <f t="shared" si="18"/>
        <v>48.8</v>
      </c>
      <c r="I2018" s="47">
        <f t="shared" si="18"/>
        <v>50.4</v>
      </c>
    </row>
    <row r="2020" spans="2:9" x14ac:dyDescent="0.3">
      <c r="C2020" s="2" t="str">
        <f>C1835</f>
        <v>Impairment</v>
      </c>
      <c r="E2020">
        <f>E1997+E2018</f>
        <v>106.8</v>
      </c>
      <c r="F2020">
        <f>F1997+F2018</f>
        <v>116.3</v>
      </c>
      <c r="G2020">
        <f>G1997+G2018</f>
        <v>132.69999999999999</v>
      </c>
      <c r="H2020">
        <f>H1997+H2018</f>
        <v>163.30000000000001</v>
      </c>
      <c r="I2020">
        <f>I1997+I2018</f>
        <v>167.2</v>
      </c>
    </row>
    <row r="2021" spans="2:9" x14ac:dyDescent="0.3">
      <c r="C2021" t="str">
        <f>C1836</f>
        <v>Intangible</v>
      </c>
      <c r="E2021">
        <f>E1836</f>
        <v>0.2</v>
      </c>
    </row>
    <row r="2022" spans="2:9" x14ac:dyDescent="0.3">
      <c r="C2022" t="str">
        <f>C1837</f>
        <v>software</v>
      </c>
      <c r="E2022">
        <f>E1837</f>
        <v>0.5</v>
      </c>
      <c r="F2022">
        <f t="shared" ref="F2022:I2023" si="19">F1837</f>
        <v>0.6</v>
      </c>
      <c r="G2022">
        <f t="shared" si="19"/>
        <v>1.3</v>
      </c>
      <c r="H2022">
        <f t="shared" si="19"/>
        <v>0</v>
      </c>
      <c r="I2022">
        <f t="shared" si="19"/>
        <v>3.8</v>
      </c>
    </row>
    <row r="2023" spans="2:9" x14ac:dyDescent="0.3">
      <c r="E2023" s="47">
        <f>E1838</f>
        <v>0.7</v>
      </c>
      <c r="F2023" s="47">
        <f t="shared" si="19"/>
        <v>0.6</v>
      </c>
      <c r="G2023" s="47">
        <f t="shared" si="19"/>
        <v>1.3</v>
      </c>
      <c r="H2023" s="47">
        <f t="shared" si="19"/>
        <v>0</v>
      </c>
      <c r="I2023" s="47">
        <f t="shared" si="19"/>
        <v>3.8</v>
      </c>
    </row>
    <row r="2024" spans="2:9" x14ac:dyDescent="0.3">
      <c r="C2024" s="2" t="s">
        <v>561</v>
      </c>
      <c r="E2024">
        <f>E2014-(E2018+E2023)</f>
        <v>0.5</v>
      </c>
      <c r="F2024">
        <f>F2014-(F2018+F2023)</f>
        <v>-3.9000000000000021</v>
      </c>
      <c r="G2024">
        <f>G2014-(G2018+G2023)</f>
        <v>-0.59999999999999432</v>
      </c>
      <c r="H2024">
        <f>H2014-(H2018+H2023)</f>
        <v>6.4000000000000057</v>
      </c>
      <c r="I2024">
        <f>I2014-(I2018+I2023)</f>
        <v>4.9000000000000057</v>
      </c>
    </row>
    <row r="2025" spans="2:9" x14ac:dyDescent="0.3">
      <c r="C2025" s="2" t="str">
        <f>C1838</f>
        <v>Total</v>
      </c>
      <c r="E2025" s="2">
        <f>E2018+E2023+E2024</f>
        <v>4.3</v>
      </c>
      <c r="F2025" s="2">
        <f>F2018+F2023+F2024</f>
        <v>12.5</v>
      </c>
      <c r="G2025" s="2">
        <f>G2018+G2023+G2024</f>
        <v>38.5</v>
      </c>
      <c r="H2025" s="2">
        <f>H2018+H2023+H2024</f>
        <v>55.2</v>
      </c>
      <c r="I2025" s="2">
        <f>I2018+I2023+I2024</f>
        <v>59.1</v>
      </c>
    </row>
    <row r="2027" spans="2:9" x14ac:dyDescent="0.3">
      <c r="B2027" t="s">
        <v>557</v>
      </c>
      <c r="C2027" s="2" t="str">
        <f>C1945</f>
        <v>Amortisation, impairemnt &amp; disposals of investments</v>
      </c>
      <c r="E2027" s="2">
        <f>E1945</f>
        <v>0</v>
      </c>
      <c r="F2027" s="2">
        <f>F1945</f>
        <v>1.1000000000000001</v>
      </c>
      <c r="G2027" s="2">
        <f>G1945</f>
        <v>0.8</v>
      </c>
      <c r="H2027" s="2">
        <f>H1945</f>
        <v>13.5</v>
      </c>
      <c r="I2027" s="2">
        <f>I1945</f>
        <v>5.6</v>
      </c>
    </row>
    <row r="2028" spans="2:9" x14ac:dyDescent="0.3">
      <c r="C2028" t="s">
        <v>281</v>
      </c>
      <c r="E2028">
        <f>E2092</f>
        <v>0.3</v>
      </c>
      <c r="F2028">
        <f>F2092</f>
        <v>0.3</v>
      </c>
      <c r="G2028">
        <f>G2092</f>
        <v>0.9</v>
      </c>
      <c r="H2028">
        <f>H2092</f>
        <v>0.5</v>
      </c>
      <c r="I2028">
        <f>I2092</f>
        <v>0</v>
      </c>
    </row>
    <row r="2029" spans="2:9" x14ac:dyDescent="0.3">
      <c r="C2029" t="str">
        <f>C2020</f>
        <v>Impairment</v>
      </c>
      <c r="E2029">
        <f>E2104</f>
        <v>0</v>
      </c>
      <c r="F2029">
        <f>F2104</f>
        <v>0.7</v>
      </c>
      <c r="G2029">
        <f>G2104</f>
        <v>0</v>
      </c>
      <c r="H2029">
        <f>H2104</f>
        <v>13</v>
      </c>
      <c r="I2029">
        <f>I2104</f>
        <v>2.9</v>
      </c>
    </row>
    <row r="2030" spans="2:9" x14ac:dyDescent="0.3">
      <c r="C2030" t="s">
        <v>569</v>
      </c>
      <c r="I2030">
        <f>I2105</f>
        <v>2.4</v>
      </c>
    </row>
    <row r="2031" spans="2:9" x14ac:dyDescent="0.3">
      <c r="E2031" s="47">
        <f>SUM(E2028:E2030)</f>
        <v>0.3</v>
      </c>
      <c r="F2031" s="47">
        <f>SUM(F2028:F2030)</f>
        <v>1</v>
      </c>
      <c r="G2031" s="47">
        <f>SUM(G2028:G2030)</f>
        <v>0.9</v>
      </c>
      <c r="H2031" s="47">
        <f>SUM(H2028:H2030)</f>
        <v>13.5</v>
      </c>
      <c r="I2031" s="47">
        <f>SUM(I2028:I2030)</f>
        <v>5.3</v>
      </c>
    </row>
    <row r="2032" spans="2:9" x14ac:dyDescent="0.3">
      <c r="C2032" t="s">
        <v>562</v>
      </c>
      <c r="E2032">
        <f>E2027-E2031</f>
        <v>-0.3</v>
      </c>
      <c r="F2032">
        <f>F2027-F2031</f>
        <v>0.10000000000000009</v>
      </c>
      <c r="G2032">
        <f>G2027-G2031</f>
        <v>-9.9999999999999978E-2</v>
      </c>
      <c r="H2032">
        <f>H2027-H2031</f>
        <v>0</v>
      </c>
      <c r="I2032">
        <f>I2027-I2031</f>
        <v>0.29999999999999982</v>
      </c>
    </row>
    <row r="2033" spans="3:9" x14ac:dyDescent="0.3">
      <c r="C2033" s="2" t="s">
        <v>113</v>
      </c>
      <c r="E2033" s="2">
        <f>E2031+E2032</f>
        <v>0</v>
      </c>
      <c r="F2033" s="2">
        <f>F2031+F2032</f>
        <v>1.1000000000000001</v>
      </c>
      <c r="G2033" s="2">
        <f>G2031+G2032</f>
        <v>0.8</v>
      </c>
      <c r="H2033" s="2">
        <f>H2031+H2032</f>
        <v>13.5</v>
      </c>
      <c r="I2033" s="2">
        <f>I2031+I2032</f>
        <v>5.6</v>
      </c>
    </row>
    <row r="2034" spans="3:9" x14ac:dyDescent="0.3">
      <c r="C2034" s="2"/>
    </row>
    <row r="2035" spans="3:9" x14ac:dyDescent="0.3">
      <c r="C2035" s="2" t="s">
        <v>113</v>
      </c>
    </row>
    <row r="2036" spans="3:9" x14ac:dyDescent="0.3">
      <c r="C2036" t="s">
        <v>279</v>
      </c>
      <c r="E2036">
        <f>E1997+E2005</f>
        <v>217.5</v>
      </c>
      <c r="F2036">
        <f>F1997+F2005</f>
        <v>208.1</v>
      </c>
      <c r="G2036">
        <f>G1997+G2005</f>
        <v>212.60000000000002</v>
      </c>
      <c r="H2036">
        <f>H1997+H2005</f>
        <v>259.10000000000002</v>
      </c>
      <c r="I2036">
        <f>I1997+I2005</f>
        <v>270.5</v>
      </c>
    </row>
    <row r="2037" spans="3:9" x14ac:dyDescent="0.3">
      <c r="C2037" t="s">
        <v>281</v>
      </c>
      <c r="E2037">
        <f>E2018+E2028</f>
        <v>3.4</v>
      </c>
      <c r="F2037">
        <f>F2018+F2028</f>
        <v>16.100000000000001</v>
      </c>
      <c r="G2037">
        <f>G2018+G2028</f>
        <v>38.699999999999996</v>
      </c>
      <c r="H2037">
        <f>H2018+H2028</f>
        <v>49.3</v>
      </c>
      <c r="I2037">
        <f>I2018+I2028</f>
        <v>50.4</v>
      </c>
    </row>
    <row r="2038" spans="3:9" x14ac:dyDescent="0.3">
      <c r="C2038" t="s">
        <v>446</v>
      </c>
      <c r="E2038">
        <f>E1998+E2006+E2023</f>
        <v>-3.5999999999999996</v>
      </c>
      <c r="F2038">
        <f>F1998+F2006+F2023</f>
        <v>-37</v>
      </c>
      <c r="G2038">
        <f>G1998+G2006+G2023</f>
        <v>-2.9000000000000004</v>
      </c>
      <c r="H2038">
        <f>H1998+H2006+H2023</f>
        <v>1.7</v>
      </c>
      <c r="I2038">
        <f>I1998+I2006+I2023</f>
        <v>7.8999999999999995</v>
      </c>
    </row>
    <row r="2039" spans="3:9" x14ac:dyDescent="0.3">
      <c r="C2039" t="s">
        <v>568</v>
      </c>
    </row>
    <row r="2040" spans="3:9" x14ac:dyDescent="0.3">
      <c r="C2040" t="s">
        <v>563</v>
      </c>
      <c r="E2040">
        <f>E2002+E2012+E2024+E2032</f>
        <v>-10.100000000000001</v>
      </c>
      <c r="F2040">
        <f>F2002+F2012+F2024+F2032</f>
        <v>-20.999999999999979</v>
      </c>
      <c r="G2040">
        <f>G2002+G2012+G2024+G2032</f>
        <v>-1.5999999999999943</v>
      </c>
      <c r="H2040">
        <f>H2002+H2012+H2024+H2032</f>
        <v>1.4000000000000057</v>
      </c>
      <c r="I2040">
        <f>I2002+I2012+I2024+I2032</f>
        <v>-10.099999999999991</v>
      </c>
    </row>
    <row r="2046" spans="3:9" ht="23.4" x14ac:dyDescent="0.45">
      <c r="C2046" s="63" t="s">
        <v>807</v>
      </c>
    </row>
    <row r="2048" spans="3:9" x14ac:dyDescent="0.3">
      <c r="C2048" s="2" t="s">
        <v>307</v>
      </c>
    </row>
    <row r="2049" spans="3:9" x14ac:dyDescent="0.3">
      <c r="C2049" t="s">
        <v>310</v>
      </c>
      <c r="E2049">
        <v>50.4</v>
      </c>
      <c r="F2049">
        <v>47.3</v>
      </c>
      <c r="G2049">
        <v>47.9</v>
      </c>
      <c r="H2049">
        <v>54.8</v>
      </c>
      <c r="I2049">
        <v>55.6</v>
      </c>
    </row>
    <row r="2050" spans="3:9" x14ac:dyDescent="0.3">
      <c r="C2050" t="s">
        <v>308</v>
      </c>
      <c r="E2050">
        <v>36.1</v>
      </c>
      <c r="F2050">
        <v>29.8</v>
      </c>
      <c r="G2050">
        <v>39.1</v>
      </c>
      <c r="H2050">
        <v>41.6</v>
      </c>
      <c r="I2050">
        <v>40.6</v>
      </c>
    </row>
    <row r="2051" spans="3:9" x14ac:dyDescent="0.3">
      <c r="C2051" s="2" t="s">
        <v>314</v>
      </c>
      <c r="E2051" s="2">
        <f>SUM(E2049:E2050)</f>
        <v>86.5</v>
      </c>
      <c r="F2051" s="2">
        <f>SUM(F2049:F2050)</f>
        <v>77.099999999999994</v>
      </c>
      <c r="G2051" s="2">
        <f>SUM(G2049:G2050)</f>
        <v>87</v>
      </c>
      <c r="H2051" s="2">
        <f>SUM(H2049:H2050)</f>
        <v>96.4</v>
      </c>
      <c r="I2051" s="2">
        <f>SUM(I2049:I2050)</f>
        <v>96.2</v>
      </c>
    </row>
    <row r="2052" spans="3:9" x14ac:dyDescent="0.3">
      <c r="C2052" t="s">
        <v>309</v>
      </c>
      <c r="F2052">
        <v>0.8</v>
      </c>
      <c r="G2052">
        <v>0.5</v>
      </c>
      <c r="H2052">
        <v>0.2</v>
      </c>
      <c r="I2052">
        <v>1</v>
      </c>
    </row>
    <row r="2053" spans="3:9" x14ac:dyDescent="0.3">
      <c r="C2053" s="2" t="s">
        <v>113</v>
      </c>
      <c r="E2053" s="2">
        <f>SUM(E2051:E2052)</f>
        <v>86.5</v>
      </c>
      <c r="F2053" s="2">
        <f>SUM(F2051:F2052)</f>
        <v>77.899999999999991</v>
      </c>
      <c r="G2053" s="2">
        <f>SUM(G2051:G2052)</f>
        <v>87.5</v>
      </c>
      <c r="H2053" s="2">
        <f>SUM(H2051:H2052)</f>
        <v>96.600000000000009</v>
      </c>
      <c r="I2053" s="2">
        <f>SUM(I2051:I2052)</f>
        <v>97.2</v>
      </c>
    </row>
    <row r="2054" spans="3:9" x14ac:dyDescent="0.3">
      <c r="E2054" s="2"/>
      <c r="F2054" s="2"/>
      <c r="G2054" s="2"/>
      <c r="H2054" s="2"/>
      <c r="I2054" s="2"/>
    </row>
    <row r="2056" spans="3:9" x14ac:dyDescent="0.3">
      <c r="C2056" s="2" t="s">
        <v>125</v>
      </c>
    </row>
    <row r="2057" spans="3:9" x14ac:dyDescent="0.3">
      <c r="C2057" t="s">
        <v>311</v>
      </c>
      <c r="E2057">
        <v>0.6</v>
      </c>
      <c r="F2057">
        <v>0.1</v>
      </c>
      <c r="G2057">
        <v>2.5</v>
      </c>
      <c r="H2057">
        <v>7.2</v>
      </c>
      <c r="I2057">
        <v>9.1999999999999993</v>
      </c>
    </row>
    <row r="2058" spans="3:9" x14ac:dyDescent="0.3">
      <c r="C2058" t="s">
        <v>312</v>
      </c>
      <c r="E2058">
        <v>3.6</v>
      </c>
      <c r="F2058">
        <v>5.6</v>
      </c>
      <c r="G2058">
        <v>4.3</v>
      </c>
      <c r="H2058">
        <v>1</v>
      </c>
      <c r="I2058">
        <v>1.8</v>
      </c>
    </row>
    <row r="2059" spans="3:9" x14ac:dyDescent="0.3">
      <c r="C2059" s="2" t="s">
        <v>113</v>
      </c>
      <c r="E2059" s="2">
        <f>SUM(E2057:E2058)</f>
        <v>4.2</v>
      </c>
      <c r="F2059" s="2">
        <f>SUM(F2057:F2058)</f>
        <v>5.6999999999999993</v>
      </c>
      <c r="G2059" s="2">
        <f>SUM(G2057:G2058)</f>
        <v>6.8</v>
      </c>
      <c r="H2059" s="2">
        <f>SUM(H2057:H2058)</f>
        <v>8.1999999999999993</v>
      </c>
      <c r="I2059" s="2">
        <f>SUM(I2057:I2058)</f>
        <v>11</v>
      </c>
    </row>
    <row r="2062" spans="3:9" ht="18" x14ac:dyDescent="0.35">
      <c r="C2062" s="66" t="s">
        <v>368</v>
      </c>
      <c r="E2062">
        <v>905</v>
      </c>
      <c r="F2062">
        <v>947</v>
      </c>
      <c r="G2062">
        <v>996</v>
      </c>
      <c r="H2062">
        <v>1090</v>
      </c>
      <c r="I2062">
        <v>1236</v>
      </c>
    </row>
    <row r="2063" spans="3:9" x14ac:dyDescent="0.3">
      <c r="C2063" t="s">
        <v>723</v>
      </c>
      <c r="E2063">
        <v>-50</v>
      </c>
      <c r="F2063">
        <v>-47</v>
      </c>
      <c r="G2063">
        <v>-47</v>
      </c>
      <c r="H2063">
        <v>-48</v>
      </c>
      <c r="I2063">
        <v>-49</v>
      </c>
    </row>
    <row r="2064" spans="3:9" ht="15.6" x14ac:dyDescent="0.3">
      <c r="C2064" s="67" t="s">
        <v>724</v>
      </c>
      <c r="E2064" s="46">
        <f>SUM(E2062:E2063)</f>
        <v>855</v>
      </c>
      <c r="F2064" s="46">
        <f>SUM(F2062:F2063)</f>
        <v>900</v>
      </c>
      <c r="G2064" s="46">
        <f>SUM(G2062:G2063)</f>
        <v>949</v>
      </c>
      <c r="H2064" s="46">
        <f>SUM(H2062:H2063)</f>
        <v>1042</v>
      </c>
      <c r="I2064" s="46">
        <f>SUM(I2062:I2063)</f>
        <v>1187</v>
      </c>
    </row>
    <row r="2065" spans="3:9" ht="15.6" x14ac:dyDescent="0.3">
      <c r="C2065" s="67" t="s">
        <v>725</v>
      </c>
      <c r="E2065">
        <v>-32</v>
      </c>
      <c r="F2065">
        <v>-25</v>
      </c>
      <c r="G2065">
        <v>-31</v>
      </c>
      <c r="H2065">
        <v>-31</v>
      </c>
      <c r="I2065">
        <v>-29</v>
      </c>
    </row>
    <row r="2066" spans="3:9" ht="15.6" x14ac:dyDescent="0.3">
      <c r="C2066" s="67" t="s">
        <v>319</v>
      </c>
      <c r="E2066" s="47">
        <f>E2064+E2065</f>
        <v>823</v>
      </c>
      <c r="F2066" s="47">
        <f>F2064+F2065</f>
        <v>875</v>
      </c>
      <c r="G2066" s="47">
        <f>G2064+G2065</f>
        <v>918</v>
      </c>
      <c r="H2066" s="47">
        <f>H2064+H2065</f>
        <v>1011</v>
      </c>
      <c r="I2066" s="47">
        <f>I2064+I2065</f>
        <v>1158</v>
      </c>
    </row>
    <row r="2067" spans="3:9" ht="15.6" x14ac:dyDescent="0.3">
      <c r="C2067" s="67"/>
      <c r="E2067" s="2"/>
      <c r="F2067" s="2"/>
      <c r="G2067" s="2"/>
      <c r="H2067" s="2"/>
      <c r="I2067" s="2"/>
    </row>
    <row r="2068" spans="3:9" ht="15.6" x14ac:dyDescent="0.3">
      <c r="C2068" s="67" t="s">
        <v>756</v>
      </c>
      <c r="E2068">
        <f>-(E2063+E2065)</f>
        <v>82</v>
      </c>
      <c r="F2068">
        <f>-(F2063+F2065)</f>
        <v>72</v>
      </c>
      <c r="G2068">
        <f>-(G2063+G2065)</f>
        <v>78</v>
      </c>
      <c r="H2068">
        <f>-(H2063+H2065)</f>
        <v>79</v>
      </c>
      <c r="I2068">
        <f>-(I2063+I2065)</f>
        <v>78</v>
      </c>
    </row>
    <row r="2069" spans="3:9" ht="15.6" x14ac:dyDescent="0.3">
      <c r="C2069" s="67" t="s">
        <v>777</v>
      </c>
      <c r="E2069">
        <v>32</v>
      </c>
      <c r="F2069">
        <v>25</v>
      </c>
      <c r="G2069">
        <v>31</v>
      </c>
      <c r="H2069">
        <v>31</v>
      </c>
      <c r="I2069">
        <v>29</v>
      </c>
    </row>
    <row r="2070" spans="3:9" ht="15.6" x14ac:dyDescent="0.3">
      <c r="C2070" s="67" t="s">
        <v>723</v>
      </c>
      <c r="E2070">
        <v>50</v>
      </c>
      <c r="F2070">
        <v>47</v>
      </c>
      <c r="G2070">
        <v>47</v>
      </c>
      <c r="H2070">
        <v>48</v>
      </c>
      <c r="I2070">
        <v>49</v>
      </c>
    </row>
    <row r="2073" spans="3:9" x14ac:dyDescent="0.3">
      <c r="C2073" t="s">
        <v>221</v>
      </c>
      <c r="E2073">
        <v>14.3</v>
      </c>
      <c r="F2073">
        <v>59.3</v>
      </c>
      <c r="G2073">
        <v>18.600000000000001</v>
      </c>
    </row>
    <row r="2074" spans="3:9" x14ac:dyDescent="0.3">
      <c r="C2074" t="s">
        <v>200</v>
      </c>
      <c r="E2074">
        <v>11.9</v>
      </c>
      <c r="F2074">
        <v>0.1</v>
      </c>
      <c r="H2074">
        <v>1</v>
      </c>
      <c r="I2074">
        <v>0.7</v>
      </c>
    </row>
    <row r="2075" spans="3:9" x14ac:dyDescent="0.3">
      <c r="C2075" t="s">
        <v>201</v>
      </c>
      <c r="E2075">
        <v>-172.3</v>
      </c>
      <c r="F2075">
        <v>-157.1</v>
      </c>
      <c r="G2075">
        <v>-156.1</v>
      </c>
      <c r="H2075">
        <v>-164.6</v>
      </c>
      <c r="I2075">
        <v>-167.4</v>
      </c>
    </row>
    <row r="2076" spans="3:9" x14ac:dyDescent="0.3">
      <c r="C2076" t="s">
        <v>202</v>
      </c>
      <c r="E2076">
        <v>-91.1</v>
      </c>
      <c r="F2076">
        <v>-74.099999999999994</v>
      </c>
      <c r="G2076">
        <v>-79.2</v>
      </c>
      <c r="H2076">
        <v>-93.3</v>
      </c>
      <c r="I2076">
        <v>-94.1</v>
      </c>
    </row>
    <row r="2077" spans="3:9" x14ac:dyDescent="0.3">
      <c r="E2077">
        <v>-237.20000000000002</v>
      </c>
      <c r="F2077">
        <v>-171.79999999999998</v>
      </c>
      <c r="G2077">
        <v>-216.7</v>
      </c>
      <c r="H2077">
        <v>-256.89999999999998</v>
      </c>
      <c r="I2077">
        <v>-260.8</v>
      </c>
    </row>
    <row r="2079" spans="3:9" x14ac:dyDescent="0.3">
      <c r="C2079" t="s">
        <v>907</v>
      </c>
    </row>
    <row r="2082" spans="3:9" ht="25.8" x14ac:dyDescent="0.5">
      <c r="C2082" s="92" t="s">
        <v>362</v>
      </c>
    </row>
    <row r="2083" spans="3:9" x14ac:dyDescent="0.3">
      <c r="C2083" s="2"/>
    </row>
    <row r="2084" spans="3:9" x14ac:dyDescent="0.3">
      <c r="C2084" t="s">
        <v>364</v>
      </c>
      <c r="E2084">
        <v>45.2</v>
      </c>
      <c r="F2084">
        <v>112.7</v>
      </c>
      <c r="G2084">
        <v>35.9</v>
      </c>
      <c r="H2084">
        <v>30.3</v>
      </c>
      <c r="I2084">
        <v>35.200000000000003</v>
      </c>
    </row>
    <row r="2085" spans="3:9" x14ac:dyDescent="0.3">
      <c r="C2085" t="s">
        <v>365</v>
      </c>
      <c r="E2085">
        <v>1</v>
      </c>
      <c r="F2085">
        <v>1.9</v>
      </c>
      <c r="G2085">
        <v>2.1</v>
      </c>
      <c r="H2085">
        <v>2.4</v>
      </c>
    </row>
    <row r="2086" spans="3:9" x14ac:dyDescent="0.3">
      <c r="C2086" s="2" t="s">
        <v>130</v>
      </c>
      <c r="E2086" s="47">
        <f>SUM(E2084:E2085)</f>
        <v>46.2</v>
      </c>
      <c r="F2086" s="47">
        <f>SUM(F2084:F2085)</f>
        <v>114.60000000000001</v>
      </c>
      <c r="G2086" s="47">
        <f>SUM(G2084:G2085)</f>
        <v>38</v>
      </c>
      <c r="H2086" s="47">
        <f>SUM(H2084:H2085)</f>
        <v>32.700000000000003</v>
      </c>
      <c r="I2086" s="47">
        <f>SUM(I2084:I2085)</f>
        <v>35.200000000000003</v>
      </c>
    </row>
    <row r="2088" spans="3:9" x14ac:dyDescent="0.3">
      <c r="C2088" s="2"/>
    </row>
    <row r="2089" spans="3:9" x14ac:dyDescent="0.3">
      <c r="C2089" s="2" t="s">
        <v>281</v>
      </c>
    </row>
    <row r="2090" spans="3:9" x14ac:dyDescent="0.3">
      <c r="C2090" t="s">
        <v>364</v>
      </c>
      <c r="E2090">
        <v>0.3</v>
      </c>
      <c r="F2090">
        <v>0.3</v>
      </c>
      <c r="G2090">
        <v>0.9</v>
      </c>
      <c r="H2090">
        <v>0.5</v>
      </c>
    </row>
    <row r="2091" spans="3:9" x14ac:dyDescent="0.3">
      <c r="C2091" t="s">
        <v>365</v>
      </c>
    </row>
    <row r="2092" spans="3:9" x14ac:dyDescent="0.3">
      <c r="C2092" s="2" t="s">
        <v>130</v>
      </c>
      <c r="E2092" s="47">
        <f>SUM(E2090:E2091)</f>
        <v>0.3</v>
      </c>
      <c r="F2092" s="47">
        <f>SUM(F2090:F2091)</f>
        <v>0.3</v>
      </c>
      <c r="G2092" s="47">
        <f>SUM(G2090:G2091)</f>
        <v>0.9</v>
      </c>
      <c r="H2092" s="47">
        <f>SUM(H2090:H2091)</f>
        <v>0.5</v>
      </c>
      <c r="I2092" s="47">
        <f>SUM(I2090:I2091)</f>
        <v>0</v>
      </c>
    </row>
    <row r="2095" spans="3:9" x14ac:dyDescent="0.3">
      <c r="C2095" s="2" t="s">
        <v>363</v>
      </c>
    </row>
    <row r="2096" spans="3:9" x14ac:dyDescent="0.3">
      <c r="C2096" t="s">
        <v>364</v>
      </c>
      <c r="E2096">
        <v>34.299999999999997</v>
      </c>
      <c r="F2096">
        <v>64.7</v>
      </c>
      <c r="G2096">
        <v>0.9</v>
      </c>
      <c r="H2096">
        <v>1.2</v>
      </c>
    </row>
    <row r="2097" spans="3:9" x14ac:dyDescent="0.3">
      <c r="C2097" t="s">
        <v>365</v>
      </c>
    </row>
    <row r="2098" spans="3:9" x14ac:dyDescent="0.3">
      <c r="C2098" s="2" t="s">
        <v>130</v>
      </c>
      <c r="E2098" s="47">
        <f>SUM(E2096:E2097)</f>
        <v>34.299999999999997</v>
      </c>
      <c r="F2098" s="47">
        <f>SUM(F2096:F2097)</f>
        <v>64.7</v>
      </c>
      <c r="G2098" s="47">
        <f>SUM(G2096:G2097)</f>
        <v>0.9</v>
      </c>
      <c r="H2098" s="47">
        <f>SUM(H2096:H2097)</f>
        <v>1.2</v>
      </c>
      <c r="I2098" s="47">
        <f>SUM(I2096:I2097)</f>
        <v>0</v>
      </c>
    </row>
    <row r="2101" spans="3:9" x14ac:dyDescent="0.3">
      <c r="C2101" s="2" t="s">
        <v>290</v>
      </c>
    </row>
    <row r="2102" spans="3:9" x14ac:dyDescent="0.3">
      <c r="C2102" t="s">
        <v>364</v>
      </c>
      <c r="F2102">
        <v>0.7</v>
      </c>
      <c r="H2102">
        <v>13</v>
      </c>
      <c r="I2102">
        <v>2.9</v>
      </c>
    </row>
    <row r="2103" spans="3:9" x14ac:dyDescent="0.3">
      <c r="C2103" t="s">
        <v>365</v>
      </c>
    </row>
    <row r="2104" spans="3:9" x14ac:dyDescent="0.3">
      <c r="E2104" s="46">
        <f>SUM(E2102:E2103)</f>
        <v>0</v>
      </c>
      <c r="F2104" s="46">
        <f>SUM(F2102:F2103)</f>
        <v>0.7</v>
      </c>
      <c r="G2104" s="46">
        <f>SUM(G2102:G2103)</f>
        <v>0</v>
      </c>
      <c r="H2104" s="46">
        <f>SUM(H2102:H2103)</f>
        <v>13</v>
      </c>
      <c r="I2104" s="46">
        <f>SUM(I2102:I2103)</f>
        <v>2.9</v>
      </c>
    </row>
    <row r="2105" spans="3:9" x14ac:dyDescent="0.3">
      <c r="C2105" t="s">
        <v>567</v>
      </c>
      <c r="I2105">
        <v>2.4</v>
      </c>
    </row>
    <row r="2106" spans="3:9" x14ac:dyDescent="0.3">
      <c r="C2106" s="2" t="s">
        <v>130</v>
      </c>
      <c r="E2106" s="47">
        <f>SUM(E2104:E2105)</f>
        <v>0</v>
      </c>
      <c r="F2106" s="47">
        <f>SUM(F2104:F2105)</f>
        <v>0.7</v>
      </c>
      <c r="G2106" s="47">
        <f>SUM(G2104:G2105)</f>
        <v>0</v>
      </c>
      <c r="H2106" s="47">
        <f>SUM(H2104:H2105)</f>
        <v>13</v>
      </c>
      <c r="I2106" s="47">
        <f>SUM(I2104:I2105)</f>
        <v>5.3</v>
      </c>
    </row>
    <row r="2107" spans="3:9" x14ac:dyDescent="0.3">
      <c r="C2107" s="2"/>
    </row>
    <row r="2109" spans="3:9" x14ac:dyDescent="0.3">
      <c r="C2109" s="2" t="str">
        <f>C761</f>
        <v>share of results of associates and joint ventures</v>
      </c>
      <c r="D2109" s="2"/>
      <c r="E2109" s="2">
        <f>E761</f>
        <v>4.8</v>
      </c>
      <c r="F2109" s="2">
        <f>F761</f>
        <v>14.3</v>
      </c>
      <c r="G2109" s="2">
        <f>G761</f>
        <v>6.9</v>
      </c>
      <c r="H2109" s="2">
        <f>H761</f>
        <v>6.7</v>
      </c>
      <c r="I2109" s="2">
        <f>I761</f>
        <v>7.9</v>
      </c>
    </row>
    <row r="2110" spans="3:9" x14ac:dyDescent="0.3">
      <c r="C2110" t="str">
        <f>C961</f>
        <v>Associates, joint ventures and other investments</v>
      </c>
      <c r="E2110">
        <f>E2086</f>
        <v>46.2</v>
      </c>
      <c r="F2110">
        <f>F961</f>
        <v>114.6</v>
      </c>
      <c r="G2110">
        <f>G961</f>
        <v>38</v>
      </c>
      <c r="H2110">
        <f>H961</f>
        <v>32.700000000000003</v>
      </c>
      <c r="I2110">
        <f>I961</f>
        <v>35.200000000000003</v>
      </c>
    </row>
    <row r="2113" spans="3:9" x14ac:dyDescent="0.3">
      <c r="C2113" t="s">
        <v>899</v>
      </c>
      <c r="E2113">
        <f>E2109</f>
        <v>4.8</v>
      </c>
      <c r="F2113">
        <f>F2109</f>
        <v>14.3</v>
      </c>
      <c r="G2113">
        <f>G2109</f>
        <v>6.9</v>
      </c>
      <c r="H2113">
        <f>H2109</f>
        <v>6.7</v>
      </c>
      <c r="I2113">
        <f>I2109</f>
        <v>7.9</v>
      </c>
    </row>
    <row r="2114" spans="3:9" x14ac:dyDescent="0.3">
      <c r="C2114" t="s">
        <v>900</v>
      </c>
      <c r="E2114">
        <f>AVERAGE(D2084:E2084)</f>
        <v>45.2</v>
      </c>
      <c r="F2114">
        <f>AVERAGE(E2084:F2084)</f>
        <v>78.95</v>
      </c>
      <c r="G2114">
        <f>AVERAGE(F2084:G2084)</f>
        <v>74.3</v>
      </c>
      <c r="H2114">
        <f>AVERAGE(G2084:H2084)</f>
        <v>33.1</v>
      </c>
      <c r="I2114">
        <f>AVERAGE(H2084:I2084)</f>
        <v>32.75</v>
      </c>
    </row>
    <row r="2115" spans="3:9" x14ac:dyDescent="0.3">
      <c r="C2115" s="2" t="s">
        <v>898</v>
      </c>
      <c r="F2115">
        <f>F2113/F2114</f>
        <v>0.18112729575680811</v>
      </c>
      <c r="G2115">
        <f>G2113/G2114</f>
        <v>9.2866756393001348E-2</v>
      </c>
      <c r="H2115">
        <f>H2113/H2114</f>
        <v>0.20241691842900303</v>
      </c>
      <c r="I2115">
        <f>I2113/I2114</f>
        <v>0.24122137404580155</v>
      </c>
    </row>
    <row r="2116" spans="3:9" x14ac:dyDescent="0.3">
      <c r="C2116" t="s">
        <v>906</v>
      </c>
      <c r="I2116">
        <f>AVERAGE(E2115:I2115)</f>
        <v>0.1794080861561535</v>
      </c>
    </row>
    <row r="2122" spans="3:9" ht="31.2" x14ac:dyDescent="0.6">
      <c r="C2122" s="64" t="s">
        <v>908</v>
      </c>
    </row>
    <row r="2123" spans="3:9" x14ac:dyDescent="0.3">
      <c r="C2123" s="2" t="s">
        <v>326</v>
      </c>
    </row>
    <row r="2124" spans="3:9" x14ac:dyDescent="0.3">
      <c r="C2124" t="s">
        <v>135</v>
      </c>
    </row>
    <row r="2125" spans="3:9" x14ac:dyDescent="0.3">
      <c r="C2125" t="s">
        <v>327</v>
      </c>
    </row>
    <row r="2129" spans="3:9" x14ac:dyDescent="0.3">
      <c r="C2129" s="2" t="s">
        <v>331</v>
      </c>
    </row>
    <row r="2130" spans="3:9" x14ac:dyDescent="0.3">
      <c r="C2130" t="s">
        <v>332</v>
      </c>
      <c r="D2130" t="s">
        <v>335</v>
      </c>
    </row>
    <row r="2131" spans="3:9" x14ac:dyDescent="0.3">
      <c r="C2131" t="s">
        <v>333</v>
      </c>
      <c r="D2131" t="s">
        <v>336</v>
      </c>
    </row>
    <row r="2132" spans="3:9" x14ac:dyDescent="0.3">
      <c r="C2132" t="s">
        <v>334</v>
      </c>
      <c r="D2132" t="s">
        <v>337</v>
      </c>
    </row>
    <row r="2133" spans="3:9" x14ac:dyDescent="0.3">
      <c r="C2133" t="s">
        <v>338</v>
      </c>
      <c r="D2133" t="s">
        <v>339</v>
      </c>
    </row>
    <row r="2137" spans="3:9" ht="33.6" x14ac:dyDescent="0.65">
      <c r="C2137" s="65" t="s">
        <v>279</v>
      </c>
    </row>
    <row r="2138" spans="3:9" x14ac:dyDescent="0.3">
      <c r="C2138" t="s">
        <v>345</v>
      </c>
      <c r="E2138">
        <v>0.1</v>
      </c>
      <c r="F2138">
        <v>0.1</v>
      </c>
      <c r="G2138">
        <v>0.1</v>
      </c>
      <c r="H2138">
        <v>0.2</v>
      </c>
      <c r="I2138">
        <v>0.2</v>
      </c>
    </row>
    <row r="2139" spans="3:9" x14ac:dyDescent="0.3">
      <c r="C2139" t="s">
        <v>346</v>
      </c>
    </row>
    <row r="2140" spans="3:9" x14ac:dyDescent="0.3">
      <c r="C2140" t="s">
        <v>333</v>
      </c>
      <c r="E2140">
        <v>103.6</v>
      </c>
      <c r="F2140">
        <v>100.4</v>
      </c>
      <c r="G2140">
        <v>94.8</v>
      </c>
      <c r="H2140">
        <v>114.3</v>
      </c>
      <c r="I2140">
        <v>116.6</v>
      </c>
    </row>
    <row r="2141" spans="3:9" x14ac:dyDescent="0.3">
      <c r="C2141" t="s">
        <v>338</v>
      </c>
    </row>
    <row r="2142" spans="3:9" x14ac:dyDescent="0.3">
      <c r="C2142" s="2" t="s">
        <v>135</v>
      </c>
      <c r="E2142" s="46">
        <f>SUM(E2138:E2141)</f>
        <v>103.69999999999999</v>
      </c>
      <c r="F2142" s="46">
        <f>SUM(F2138:F2141)</f>
        <v>100.5</v>
      </c>
      <c r="G2142" s="46">
        <f>SUM(G2138:G2141)</f>
        <v>94.899999999999991</v>
      </c>
      <c r="H2142" s="46">
        <f>SUM(H2138:H2141)</f>
        <v>114.5</v>
      </c>
      <c r="I2142" s="46">
        <f>SUM(I2138:I2141)</f>
        <v>116.8</v>
      </c>
    </row>
    <row r="2143" spans="3:9" x14ac:dyDescent="0.3">
      <c r="C2143" t="s">
        <v>347</v>
      </c>
      <c r="E2143">
        <v>113.8</v>
      </c>
      <c r="F2143">
        <v>107.6</v>
      </c>
      <c r="G2143">
        <v>117.7</v>
      </c>
      <c r="H2143">
        <v>144.6</v>
      </c>
      <c r="I2143">
        <v>153.69999999999999</v>
      </c>
    </row>
    <row r="2144" spans="3:9" x14ac:dyDescent="0.3">
      <c r="C2144" s="2" t="s">
        <v>356</v>
      </c>
      <c r="E2144" s="47">
        <f>SUM(E2142:E2143)</f>
        <v>217.5</v>
      </c>
      <c r="F2144" s="47">
        <f>SUM(F2142:F2143)</f>
        <v>208.1</v>
      </c>
      <c r="G2144" s="47">
        <f>SUM(G2142:G2143)</f>
        <v>212.6</v>
      </c>
      <c r="H2144" s="47">
        <f>SUM(H2142:H2143)</f>
        <v>259.10000000000002</v>
      </c>
      <c r="I2144" s="47">
        <f>SUM(I2142:I2143)</f>
        <v>270.5</v>
      </c>
    </row>
    <row r="2146" spans="3:9" x14ac:dyDescent="0.3">
      <c r="C2146" s="2" t="s">
        <v>352</v>
      </c>
    </row>
    <row r="2147" spans="3:9" x14ac:dyDescent="0.3">
      <c r="C2147" t="s">
        <v>345</v>
      </c>
      <c r="E2147">
        <v>28.3</v>
      </c>
      <c r="F2147">
        <v>13.2</v>
      </c>
      <c r="G2147">
        <v>13.8</v>
      </c>
      <c r="I2147">
        <v>3.1</v>
      </c>
    </row>
    <row r="2148" spans="3:9" x14ac:dyDescent="0.3">
      <c r="C2148" t="s">
        <v>346</v>
      </c>
    </row>
    <row r="2149" spans="3:9" x14ac:dyDescent="0.3">
      <c r="C2149" t="s">
        <v>333</v>
      </c>
      <c r="E2149">
        <v>157</v>
      </c>
      <c r="F2149">
        <v>168.6</v>
      </c>
      <c r="G2149">
        <v>124.2</v>
      </c>
      <c r="H2149">
        <v>122.8</v>
      </c>
      <c r="I2149">
        <v>136.4</v>
      </c>
    </row>
    <row r="2150" spans="3:9" x14ac:dyDescent="0.3">
      <c r="C2150" t="s">
        <v>338</v>
      </c>
      <c r="E2150">
        <v>53.9</v>
      </c>
    </row>
    <row r="2151" spans="3:9" x14ac:dyDescent="0.3">
      <c r="C2151" s="2" t="s">
        <v>135</v>
      </c>
      <c r="E2151" s="46">
        <f>SUM(E2147:E2150)</f>
        <v>239.20000000000002</v>
      </c>
      <c r="F2151" s="46">
        <f>SUM(F2147:F2150)</f>
        <v>181.79999999999998</v>
      </c>
      <c r="G2151" s="46">
        <f>SUM(G2147:G2150)</f>
        <v>138</v>
      </c>
      <c r="H2151" s="46">
        <f>SUM(H2147:H2150)</f>
        <v>122.8</v>
      </c>
      <c r="I2151" s="46">
        <f>SUM(I2147:I2150)</f>
        <v>139.5</v>
      </c>
    </row>
    <row r="2152" spans="3:9" x14ac:dyDescent="0.3">
      <c r="C2152" t="s">
        <v>347</v>
      </c>
      <c r="E2152">
        <v>27.8</v>
      </c>
      <c r="F2152">
        <v>58.2</v>
      </c>
      <c r="G2152">
        <v>40.200000000000003</v>
      </c>
      <c r="H2152">
        <v>130.80000000000001</v>
      </c>
      <c r="I2152">
        <v>129</v>
      </c>
    </row>
    <row r="2153" spans="3:9" x14ac:dyDescent="0.3">
      <c r="C2153" s="2" t="s">
        <v>130</v>
      </c>
      <c r="E2153" s="47">
        <f>SUM(E2151:E2152)</f>
        <v>267</v>
      </c>
      <c r="F2153" s="47">
        <f>SUM(F2151:F2152)</f>
        <v>240</v>
      </c>
      <c r="G2153" s="47">
        <f>SUM(G2151:G2152)</f>
        <v>178.2</v>
      </c>
      <c r="H2153" s="47">
        <f>SUM(H2151:H2152)</f>
        <v>253.60000000000002</v>
      </c>
      <c r="I2153" s="47">
        <f>SUM(I2151:I2152)</f>
        <v>268.5</v>
      </c>
    </row>
    <row r="2155" spans="3:9" x14ac:dyDescent="0.3">
      <c r="C2155" s="2"/>
    </row>
    <row r="2156" spans="3:9" x14ac:dyDescent="0.3">
      <c r="C2156" s="2" t="s">
        <v>357</v>
      </c>
    </row>
    <row r="2157" spans="3:9" x14ac:dyDescent="0.3">
      <c r="C2157" t="s">
        <v>345</v>
      </c>
      <c r="G2157">
        <v>1.1000000000000001</v>
      </c>
    </row>
    <row r="2158" spans="3:9" x14ac:dyDescent="0.3">
      <c r="C2158" t="s">
        <v>346</v>
      </c>
    </row>
    <row r="2159" spans="3:9" x14ac:dyDescent="0.3">
      <c r="C2159" t="s">
        <v>333</v>
      </c>
      <c r="E2159">
        <v>-3.1</v>
      </c>
      <c r="F2159">
        <v>-2.7</v>
      </c>
      <c r="G2159">
        <v>0.6</v>
      </c>
      <c r="H2159">
        <v>3.4</v>
      </c>
      <c r="I2159">
        <v>0.3</v>
      </c>
    </row>
    <row r="2160" spans="3:9" x14ac:dyDescent="0.3">
      <c r="C2160" t="s">
        <v>338</v>
      </c>
    </row>
    <row r="2161" spans="3:9" x14ac:dyDescent="0.3">
      <c r="E2161" s="46">
        <f>SUM(E2157:E2160)</f>
        <v>-3.1</v>
      </c>
      <c r="F2161" s="46">
        <f>SUM(F2157:F2160)</f>
        <v>-2.7</v>
      </c>
      <c r="G2161" s="46">
        <f>SUM(G2157:G2160)</f>
        <v>1.7000000000000002</v>
      </c>
      <c r="H2161" s="46">
        <f>SUM(H2157:H2160)</f>
        <v>3.4</v>
      </c>
      <c r="I2161" s="46">
        <f>SUM(I2157:I2160)</f>
        <v>0.3</v>
      </c>
    </row>
    <row r="2162" spans="3:9" x14ac:dyDescent="0.3">
      <c r="C2162" t="s">
        <v>347</v>
      </c>
      <c r="E2162">
        <v>-1.8</v>
      </c>
      <c r="F2162">
        <v>-34.9</v>
      </c>
      <c r="G2162">
        <v>-5.9</v>
      </c>
      <c r="H2162">
        <v>3.8</v>
      </c>
      <c r="I2162">
        <v>-1.7</v>
      </c>
    </row>
    <row r="2163" spans="3:9" x14ac:dyDescent="0.3">
      <c r="C2163" s="2" t="s">
        <v>130</v>
      </c>
      <c r="E2163" s="47">
        <f>SUM(E2161:E2162)</f>
        <v>-4.9000000000000004</v>
      </c>
      <c r="F2163" s="47">
        <f>SUM(F2161:F2162)</f>
        <v>-37.6</v>
      </c>
      <c r="G2163" s="47">
        <f>SUM(G2161:G2162)</f>
        <v>-4.2</v>
      </c>
      <c r="H2163" s="47">
        <f>SUM(H2161:H2162)</f>
        <v>7.1999999999999993</v>
      </c>
      <c r="I2163" s="47">
        <f>SUM(I2161:I2162)</f>
        <v>-1.4</v>
      </c>
    </row>
    <row r="2164" spans="3:9" x14ac:dyDescent="0.3">
      <c r="C2164" s="2" t="s">
        <v>450</v>
      </c>
      <c r="E2164">
        <f>E2163</f>
        <v>-4.9000000000000004</v>
      </c>
      <c r="F2164">
        <f>F2163</f>
        <v>-37.6</v>
      </c>
      <c r="G2164">
        <f>G2162</f>
        <v>-5.9</v>
      </c>
      <c r="I2164">
        <f>I2162</f>
        <v>-1.7</v>
      </c>
    </row>
    <row r="2165" spans="3:9" x14ac:dyDescent="0.3">
      <c r="C2165" s="2" t="s">
        <v>451</v>
      </c>
      <c r="G2165">
        <f>G2161</f>
        <v>1.7000000000000002</v>
      </c>
      <c r="H2165">
        <f>H2163</f>
        <v>7.1999999999999993</v>
      </c>
      <c r="I2165">
        <f>I2159</f>
        <v>0.3</v>
      </c>
    </row>
    <row r="2166" spans="3:9" x14ac:dyDescent="0.3">
      <c r="C2166" s="2" t="s">
        <v>130</v>
      </c>
      <c r="E2166" s="47">
        <f>SUM(E2164:E2165)</f>
        <v>-4.9000000000000004</v>
      </c>
      <c r="F2166" s="47">
        <f>SUM(F2164:F2165)</f>
        <v>-37.6</v>
      </c>
      <c r="G2166" s="47">
        <f>SUM(G2164:G2165)</f>
        <v>-4.2</v>
      </c>
      <c r="H2166" s="47">
        <f>SUM(H2164:H2165)</f>
        <v>7.1999999999999993</v>
      </c>
      <c r="I2166" s="47">
        <f>SUM(I2164:I2165)</f>
        <v>-1.4</v>
      </c>
    </row>
    <row r="2169" spans="3:9" x14ac:dyDescent="0.3">
      <c r="C2169" s="2"/>
    </row>
    <row r="2170" spans="3:9" ht="31.2" x14ac:dyDescent="0.6">
      <c r="C2170" s="64" t="s">
        <v>358</v>
      </c>
    </row>
    <row r="2171" spans="3:9" x14ac:dyDescent="0.3">
      <c r="C2171" t="s">
        <v>359</v>
      </c>
      <c r="E2171">
        <v>43.9</v>
      </c>
      <c r="F2171">
        <v>55.5</v>
      </c>
      <c r="G2171">
        <v>215.7</v>
      </c>
      <c r="H2171">
        <v>217.6</v>
      </c>
      <c r="I2171">
        <v>217.6</v>
      </c>
    </row>
    <row r="2172" spans="3:9" x14ac:dyDescent="0.3">
      <c r="C2172" t="s">
        <v>360</v>
      </c>
      <c r="E2172">
        <v>0.1</v>
      </c>
      <c r="F2172">
        <v>10.199999999999999</v>
      </c>
      <c r="G2172">
        <v>445</v>
      </c>
      <c r="H2172">
        <v>424.6</v>
      </c>
      <c r="I2172">
        <v>409.4</v>
      </c>
    </row>
    <row r="2173" spans="3:9" x14ac:dyDescent="0.3">
      <c r="C2173" t="s">
        <v>328</v>
      </c>
      <c r="G2173">
        <v>12.9</v>
      </c>
      <c r="H2173">
        <v>10.8</v>
      </c>
      <c r="I2173">
        <v>8.8000000000000007</v>
      </c>
    </row>
    <row r="2174" spans="3:9" x14ac:dyDescent="0.3">
      <c r="E2174" s="2">
        <f>SUM(E2171:E2173)</f>
        <v>44</v>
      </c>
      <c r="F2174" s="2">
        <f>SUM(F2171:F2173)</f>
        <v>65.7</v>
      </c>
      <c r="G2174" s="2">
        <f>SUM(G2171:G2173)</f>
        <v>673.6</v>
      </c>
      <c r="H2174" s="2">
        <f>SUM(H2171:H2173)</f>
        <v>653</v>
      </c>
      <c r="I2174" s="2">
        <f>SUM(I2171:I2173)</f>
        <v>635.79999999999995</v>
      </c>
    </row>
    <row r="2175" spans="3:9" x14ac:dyDescent="0.3">
      <c r="C2175" t="s">
        <v>293</v>
      </c>
      <c r="E2175">
        <v>8.6999999999999993</v>
      </c>
      <c r="F2175">
        <v>47.6</v>
      </c>
      <c r="G2175">
        <v>67.599999999999994</v>
      </c>
      <c r="H2175">
        <v>73</v>
      </c>
      <c r="I2175">
        <v>60.1</v>
      </c>
    </row>
    <row r="2176" spans="3:9" x14ac:dyDescent="0.3">
      <c r="C2176" t="s">
        <v>361</v>
      </c>
      <c r="E2176">
        <v>26.6</v>
      </c>
      <c r="F2176">
        <v>23.8</v>
      </c>
      <c r="G2176">
        <v>16</v>
      </c>
      <c r="H2176">
        <v>9.4</v>
      </c>
      <c r="I2176">
        <v>17.8</v>
      </c>
    </row>
    <row r="2177" spans="3:9" x14ac:dyDescent="0.3">
      <c r="C2177" s="2" t="s">
        <v>130</v>
      </c>
      <c r="E2177" s="47">
        <f>SUM(E2174:E2176)</f>
        <v>79.300000000000011</v>
      </c>
      <c r="F2177" s="47">
        <f>SUM(F2174:F2176)</f>
        <v>137.10000000000002</v>
      </c>
      <c r="G2177" s="47">
        <f>SUM(G2174:G2176)</f>
        <v>757.2</v>
      </c>
      <c r="H2177" s="47">
        <f>SUM(H2174:H2176)</f>
        <v>735.4</v>
      </c>
      <c r="I2177" s="47">
        <f>SUM(I2174:I2176)</f>
        <v>713.69999999999993</v>
      </c>
    </row>
    <row r="2179" spans="3:9" x14ac:dyDescent="0.3">
      <c r="C2179" s="2" t="s">
        <v>358</v>
      </c>
    </row>
    <row r="2180" spans="3:9" x14ac:dyDescent="0.3">
      <c r="C2180" s="2" t="s">
        <v>281</v>
      </c>
      <c r="E2180">
        <f>E2188+E2185</f>
        <v>3.1</v>
      </c>
      <c r="F2180">
        <f>F2188+F2185</f>
        <v>15.8</v>
      </c>
      <c r="G2180">
        <f>G2188+G2185</f>
        <v>37.799999999999997</v>
      </c>
      <c r="H2180">
        <f>H2188+H2185</f>
        <v>48.8</v>
      </c>
      <c r="I2180">
        <f>I2188+I2185</f>
        <v>50.4</v>
      </c>
    </row>
    <row r="2181" spans="3:9" x14ac:dyDescent="0.3">
      <c r="C2181" t="s">
        <v>359</v>
      </c>
    </row>
    <row r="2182" spans="3:9" x14ac:dyDescent="0.3">
      <c r="C2182" t="s">
        <v>360</v>
      </c>
      <c r="E2182">
        <v>0.1</v>
      </c>
      <c r="F2182">
        <v>0.4</v>
      </c>
      <c r="G2182">
        <v>7.6</v>
      </c>
      <c r="H2182">
        <v>20.5</v>
      </c>
      <c r="I2182">
        <v>20.8</v>
      </c>
    </row>
    <row r="2183" spans="3:9" x14ac:dyDescent="0.3">
      <c r="C2183" t="s">
        <v>328</v>
      </c>
      <c r="G2183">
        <v>0.6</v>
      </c>
      <c r="H2183">
        <v>2.1</v>
      </c>
      <c r="I2183">
        <v>2</v>
      </c>
    </row>
    <row r="2184" spans="3:9" x14ac:dyDescent="0.3">
      <c r="E2184" s="46">
        <f>SUM(E2181:E2183)</f>
        <v>0.1</v>
      </c>
      <c r="F2184" s="46">
        <f>SUM(F2181:F2183)</f>
        <v>0.4</v>
      </c>
      <c r="G2184" s="46">
        <f>SUM(G2181:G2183)</f>
        <v>8.1999999999999993</v>
      </c>
      <c r="H2184" s="46">
        <f>SUM(H2181:H2183)</f>
        <v>22.6</v>
      </c>
      <c r="I2184" s="46">
        <f>SUM(I2181:I2183)</f>
        <v>22.8</v>
      </c>
    </row>
    <row r="2185" spans="3:9" x14ac:dyDescent="0.3">
      <c r="C2185" t="s">
        <v>293</v>
      </c>
      <c r="E2185">
        <v>3.1</v>
      </c>
      <c r="F2185">
        <v>11.5</v>
      </c>
      <c r="G2185">
        <v>28</v>
      </c>
      <c r="H2185">
        <v>29.8</v>
      </c>
      <c r="I2185">
        <v>32</v>
      </c>
    </row>
    <row r="2186" spans="3:9" x14ac:dyDescent="0.3">
      <c r="C2186" t="s">
        <v>361</v>
      </c>
    </row>
    <row r="2187" spans="3:9" x14ac:dyDescent="0.3">
      <c r="C2187" s="2" t="s">
        <v>130</v>
      </c>
      <c r="E2187" s="47">
        <f>SUM(E2184:E2186)</f>
        <v>3.2</v>
      </c>
      <c r="F2187" s="47">
        <f>SUM(F2184:F2186)</f>
        <v>11.9</v>
      </c>
      <c r="G2187" s="47">
        <f>SUM(G2184:G2186)</f>
        <v>36.200000000000003</v>
      </c>
      <c r="H2187" s="47">
        <f>SUM(H2184:H2186)</f>
        <v>52.400000000000006</v>
      </c>
      <c r="I2187" s="47">
        <f>SUM(I2184:I2186)</f>
        <v>54.8</v>
      </c>
    </row>
    <row r="2188" spans="3:9" x14ac:dyDescent="0.3">
      <c r="C2188" t="str">
        <f>C1889</f>
        <v>Brand and customer relationship amortisation</v>
      </c>
      <c r="E2188">
        <f>E1889</f>
        <v>0</v>
      </c>
      <c r="F2188">
        <f>F1889</f>
        <v>4.3</v>
      </c>
      <c r="G2188">
        <f>G1889</f>
        <v>9.8000000000000007</v>
      </c>
      <c r="H2188">
        <f>H1889</f>
        <v>19</v>
      </c>
      <c r="I2188">
        <f>I1889</f>
        <v>18.399999999999999</v>
      </c>
    </row>
    <row r="2190" spans="3:9" x14ac:dyDescent="0.3">
      <c r="C2190" s="2" t="s">
        <v>352</v>
      </c>
    </row>
    <row r="2191" spans="3:9" x14ac:dyDescent="0.3">
      <c r="C2191" t="s">
        <v>359</v>
      </c>
    </row>
    <row r="2192" spans="3:9" x14ac:dyDescent="0.3">
      <c r="C2192" t="s">
        <v>360</v>
      </c>
      <c r="G2192">
        <v>8.5</v>
      </c>
      <c r="H2192">
        <v>0.1</v>
      </c>
      <c r="I2192">
        <v>5.6</v>
      </c>
    </row>
    <row r="2193" spans="3:9" x14ac:dyDescent="0.3">
      <c r="C2193" t="s">
        <v>328</v>
      </c>
    </row>
    <row r="2194" spans="3:9" x14ac:dyDescent="0.3">
      <c r="E2194" s="46">
        <f>SUM(E2191:E2193)</f>
        <v>0</v>
      </c>
      <c r="F2194" s="46">
        <f>SUM(F2191:F2193)</f>
        <v>0</v>
      </c>
      <c r="G2194" s="46">
        <f>SUM(G2191:G2193)</f>
        <v>8.5</v>
      </c>
      <c r="H2194" s="46">
        <f>SUM(H2191:H2193)</f>
        <v>0.1</v>
      </c>
      <c r="I2194" s="46">
        <f>SUM(I2191:I2193)</f>
        <v>5.6</v>
      </c>
    </row>
    <row r="2195" spans="3:9" x14ac:dyDescent="0.3">
      <c r="C2195" t="s">
        <v>293</v>
      </c>
      <c r="E2195">
        <v>7.6</v>
      </c>
      <c r="F2195">
        <v>25.5</v>
      </c>
      <c r="G2195">
        <v>33</v>
      </c>
      <c r="H2195">
        <v>24.6</v>
      </c>
      <c r="I2195">
        <v>17.7</v>
      </c>
    </row>
    <row r="2196" spans="3:9" x14ac:dyDescent="0.3">
      <c r="C2196" t="s">
        <v>361</v>
      </c>
      <c r="E2196">
        <v>15.1</v>
      </c>
      <c r="F2196">
        <v>15.5</v>
      </c>
      <c r="G2196">
        <v>9.6999999999999993</v>
      </c>
      <c r="H2196">
        <v>3.5</v>
      </c>
      <c r="I2196">
        <v>13.5</v>
      </c>
    </row>
    <row r="2197" spans="3:9" x14ac:dyDescent="0.3">
      <c r="C2197" s="2" t="s">
        <v>130</v>
      </c>
      <c r="E2197" s="47">
        <f>SUM(E2194:E2196)</f>
        <v>22.7</v>
      </c>
      <c r="F2197" s="47">
        <f>SUM(F2194:F2196)</f>
        <v>41</v>
      </c>
      <c r="G2197" s="47">
        <f>SUM(G2194:G2196)</f>
        <v>51.2</v>
      </c>
      <c r="H2197" s="47">
        <f>SUM(H2194:H2196)</f>
        <v>28.200000000000003</v>
      </c>
      <c r="I2197" s="47">
        <f>SUM(I2194:I2196)</f>
        <v>36.799999999999997</v>
      </c>
    </row>
    <row r="2199" spans="3:9" x14ac:dyDescent="0.3">
      <c r="C2199" s="2"/>
    </row>
    <row r="2200" spans="3:9" x14ac:dyDescent="0.3">
      <c r="C2200" s="2" t="s">
        <v>357</v>
      </c>
    </row>
    <row r="2201" spans="3:9" x14ac:dyDescent="0.3">
      <c r="C2201" t="s">
        <v>359</v>
      </c>
      <c r="E2201">
        <v>0.2</v>
      </c>
    </row>
    <row r="2202" spans="3:9" x14ac:dyDescent="0.3">
      <c r="C2202" t="s">
        <v>360</v>
      </c>
    </row>
    <row r="2203" spans="3:9" x14ac:dyDescent="0.3">
      <c r="C2203" t="s">
        <v>328</v>
      </c>
    </row>
    <row r="2204" spans="3:9" x14ac:dyDescent="0.3">
      <c r="E2204" s="46">
        <f>SUM(E2201:E2203)</f>
        <v>0.2</v>
      </c>
      <c r="F2204" s="46">
        <f>SUM(F2201:F2203)</f>
        <v>0</v>
      </c>
      <c r="G2204" s="46">
        <f>SUM(G2201:G2203)</f>
        <v>0</v>
      </c>
      <c r="H2204" s="46">
        <f>SUM(H2201:H2203)</f>
        <v>0</v>
      </c>
      <c r="I2204" s="46">
        <f>SUM(I2201:I2203)</f>
        <v>0</v>
      </c>
    </row>
    <row r="2205" spans="3:9" x14ac:dyDescent="0.3">
      <c r="C2205" t="s">
        <v>293</v>
      </c>
      <c r="E2205">
        <v>0.5</v>
      </c>
      <c r="F2205">
        <v>0.6</v>
      </c>
      <c r="G2205">
        <v>1.3</v>
      </c>
      <c r="I2205">
        <v>3.8</v>
      </c>
    </row>
    <row r="2206" spans="3:9" x14ac:dyDescent="0.3">
      <c r="C2206" t="s">
        <v>361</v>
      </c>
    </row>
    <row r="2207" spans="3:9" x14ac:dyDescent="0.3">
      <c r="C2207" s="2" t="s">
        <v>130</v>
      </c>
      <c r="E2207" s="47">
        <f>SUM(E2204:E2206)</f>
        <v>0.7</v>
      </c>
      <c r="F2207" s="47">
        <f>SUM(F2204:F2206)</f>
        <v>0.6</v>
      </c>
      <c r="G2207" s="47">
        <f>SUM(G2204:G2206)</f>
        <v>1.3</v>
      </c>
      <c r="H2207" s="47">
        <f>SUM(H2204:H2206)</f>
        <v>0</v>
      </c>
      <c r="I2207" s="47">
        <f>SUM(I2204:I2206)</f>
        <v>3.8</v>
      </c>
    </row>
    <row r="2208" spans="3:9" x14ac:dyDescent="0.3">
      <c r="C2208" s="2" t="s">
        <v>450</v>
      </c>
      <c r="E2208" s="2"/>
      <c r="F2208" s="2"/>
      <c r="G2208" s="2"/>
      <c r="H2208" s="2"/>
      <c r="I2208" s="2"/>
    </row>
    <row r="2209" spans="3:9" x14ac:dyDescent="0.3">
      <c r="C2209" s="2" t="s">
        <v>451</v>
      </c>
      <c r="E2209" s="2">
        <f>E2205</f>
        <v>0.5</v>
      </c>
      <c r="F2209" s="2">
        <f>F2207</f>
        <v>0.6</v>
      </c>
      <c r="G2209" s="2">
        <f>G2207</f>
        <v>1.3</v>
      </c>
      <c r="H2209" s="2">
        <f>H2207</f>
        <v>0</v>
      </c>
      <c r="I2209" s="2">
        <f>I2207</f>
        <v>3.8</v>
      </c>
    </row>
    <row r="2210" spans="3:9" x14ac:dyDescent="0.3">
      <c r="C2210" s="2" t="s">
        <v>130</v>
      </c>
      <c r="E2210" s="2"/>
      <c r="F2210" s="2"/>
      <c r="G2210" s="2"/>
      <c r="H2210" s="2"/>
      <c r="I2210" s="2"/>
    </row>
    <row r="2211" spans="3:9" x14ac:dyDescent="0.3">
      <c r="C2211" s="2"/>
      <c r="E2211" s="2"/>
      <c r="F2211" s="2"/>
      <c r="G2211" s="2"/>
      <c r="H2211" s="2"/>
      <c r="I2211" s="2"/>
    </row>
    <row r="2214" spans="3:9" x14ac:dyDescent="0.3">
      <c r="C2214" s="2" t="s">
        <v>910</v>
      </c>
    </row>
    <row r="2215" spans="3:9" x14ac:dyDescent="0.3">
      <c r="C2215" t="s">
        <v>912</v>
      </c>
      <c r="E2215">
        <f>E2142</f>
        <v>103.69999999999999</v>
      </c>
      <c r="F2215">
        <f>F2142</f>
        <v>100.5</v>
      </c>
      <c r="G2215">
        <f>G2142</f>
        <v>94.899999999999991</v>
      </c>
      <c r="H2215">
        <f>H2142</f>
        <v>114.5</v>
      </c>
      <c r="I2215">
        <f>I2142</f>
        <v>116.8</v>
      </c>
    </row>
    <row r="2216" spans="3:9" x14ac:dyDescent="0.3">
      <c r="C2216" t="s">
        <v>911</v>
      </c>
      <c r="E2216">
        <f>E2185</f>
        <v>3.1</v>
      </c>
      <c r="F2216">
        <f>F2185</f>
        <v>11.5</v>
      </c>
      <c r="G2216">
        <f>G2185</f>
        <v>28</v>
      </c>
      <c r="H2216">
        <f>H2185</f>
        <v>29.8</v>
      </c>
      <c r="I2216">
        <f>I2185</f>
        <v>32</v>
      </c>
    </row>
    <row r="2217" spans="3:9" x14ac:dyDescent="0.3">
      <c r="C2217" s="2"/>
      <c r="E2217" s="2">
        <f>SUM(E2215:E2216)</f>
        <v>106.79999999999998</v>
      </c>
      <c r="F2217" s="2">
        <f>SUM(F2215:F2216)</f>
        <v>112</v>
      </c>
      <c r="G2217" s="2">
        <f>SUM(G2215:G2216)</f>
        <v>122.89999999999999</v>
      </c>
      <c r="H2217" s="2">
        <f>SUM(H2215:H2216)</f>
        <v>144.30000000000001</v>
      </c>
      <c r="I2217" s="2">
        <f>SUM(I2215:I2216)</f>
        <v>148.80000000000001</v>
      </c>
    </row>
    <row r="2219" spans="3:9" x14ac:dyDescent="0.3">
      <c r="C2219" t="s">
        <v>913</v>
      </c>
      <c r="E2219">
        <f>E2143</f>
        <v>113.8</v>
      </c>
      <c r="F2219">
        <f>F2143</f>
        <v>107.6</v>
      </c>
      <c r="G2219">
        <f>G2143</f>
        <v>117.7</v>
      </c>
      <c r="H2219">
        <f>H2143</f>
        <v>144.6</v>
      </c>
      <c r="I2219">
        <f>I2143</f>
        <v>153.69999999999999</v>
      </c>
    </row>
    <row r="2221" spans="3:9" x14ac:dyDescent="0.3">
      <c r="C2221" t="s">
        <v>960</v>
      </c>
      <c r="E2221">
        <f>E751</f>
        <v>11.3</v>
      </c>
      <c r="F2221">
        <f>F751</f>
        <v>75.7</v>
      </c>
      <c r="G2221">
        <f>G751</f>
        <v>363.8</v>
      </c>
      <c r="H2221">
        <f>H751</f>
        <v>690</v>
      </c>
      <c r="I2221">
        <f>I751</f>
        <v>734.3</v>
      </c>
    </row>
    <row r="2222" spans="3:9" x14ac:dyDescent="0.3">
      <c r="C2222" s="2" t="s">
        <v>277</v>
      </c>
    </row>
    <row r="2223" spans="3:9" x14ac:dyDescent="0.3">
      <c r="C2223" t="s">
        <v>961</v>
      </c>
    </row>
    <row r="2224" spans="3:9" x14ac:dyDescent="0.3">
      <c r="C2224" t="s">
        <v>962</v>
      </c>
    </row>
    <row r="2225" spans="1:9" x14ac:dyDescent="0.3">
      <c r="C2225" t="s">
        <v>963</v>
      </c>
      <c r="E2225">
        <v>39.1</v>
      </c>
      <c r="F2225">
        <v>40.1</v>
      </c>
      <c r="G2225">
        <v>52.5</v>
      </c>
      <c r="H2225">
        <v>67</v>
      </c>
      <c r="I2225">
        <v>79.099999999999994</v>
      </c>
    </row>
    <row r="2226" spans="1:9" x14ac:dyDescent="0.3">
      <c r="C2226" t="s">
        <v>964</v>
      </c>
      <c r="F2226">
        <v>35.6</v>
      </c>
      <c r="G2226">
        <v>308.5</v>
      </c>
      <c r="H2226">
        <v>623</v>
      </c>
      <c r="I2226">
        <v>655.20000000000005</v>
      </c>
    </row>
    <row r="2228" spans="1:9" x14ac:dyDescent="0.3">
      <c r="C2228" t="s">
        <v>966</v>
      </c>
      <c r="F2228">
        <v>110.3</v>
      </c>
      <c r="G2228">
        <v>148.5</v>
      </c>
    </row>
    <row r="2229" spans="1:9" x14ac:dyDescent="0.3">
      <c r="A2229" t="s">
        <v>969</v>
      </c>
      <c r="C2229" t="s">
        <v>968</v>
      </c>
    </row>
    <row r="2230" spans="1:9" x14ac:dyDescent="0.3">
      <c r="A2230" t="s">
        <v>970</v>
      </c>
      <c r="C2230" t="s">
        <v>967</v>
      </c>
    </row>
    <row r="2231" spans="1:9" x14ac:dyDescent="0.3">
      <c r="C2231" t="s">
        <v>965</v>
      </c>
    </row>
    <row r="2232" spans="1:9" x14ac:dyDescent="0.3">
      <c r="B2232" t="s">
        <v>919</v>
      </c>
    </row>
    <row r="2233" spans="1:9" x14ac:dyDescent="0.3">
      <c r="C2233" s="2" t="s">
        <v>917</v>
      </c>
      <c r="D2233" s="2"/>
      <c r="E2233" s="2"/>
      <c r="F2233" s="2"/>
      <c r="G2233" s="2"/>
      <c r="H2233" s="2"/>
      <c r="I2233" s="2"/>
    </row>
    <row r="2234" spans="1:9" x14ac:dyDescent="0.3">
      <c r="C2234" t="s">
        <v>918</v>
      </c>
    </row>
    <row r="2235" spans="1:9" x14ac:dyDescent="0.3">
      <c r="C2235" t="s">
        <v>922</v>
      </c>
    </row>
    <row r="2236" spans="1:9" x14ac:dyDescent="0.3">
      <c r="C2236" t="s">
        <v>923</v>
      </c>
    </row>
    <row r="2237" spans="1:9" x14ac:dyDescent="0.3">
      <c r="C2237" t="s">
        <v>924</v>
      </c>
    </row>
    <row r="2238" spans="1:9" x14ac:dyDescent="0.3">
      <c r="C2238" t="s">
        <v>925</v>
      </c>
    </row>
    <row r="2239" spans="1:9" x14ac:dyDescent="0.3">
      <c r="C2239" t="s">
        <v>926</v>
      </c>
    </row>
    <row r="2241" spans="2:9" x14ac:dyDescent="0.3">
      <c r="B2241" t="s">
        <v>919</v>
      </c>
    </row>
    <row r="2242" spans="2:9" x14ac:dyDescent="0.3">
      <c r="C2242" s="2" t="s">
        <v>920</v>
      </c>
      <c r="D2242" s="2"/>
      <c r="E2242" s="2"/>
      <c r="F2242" s="2"/>
      <c r="G2242" s="2"/>
      <c r="H2242" s="2"/>
      <c r="I2242" s="2"/>
    </row>
    <row r="2243" spans="2:9" x14ac:dyDescent="0.3">
      <c r="C2243" t="s">
        <v>921</v>
      </c>
    </row>
    <row r="2244" spans="2:9" x14ac:dyDescent="0.3">
      <c r="C2244" t="s">
        <v>927</v>
      </c>
    </row>
    <row r="2246" spans="2:9" x14ac:dyDescent="0.3">
      <c r="C2246" t="s">
        <v>928</v>
      </c>
    </row>
    <row r="2249" spans="2:9" x14ac:dyDescent="0.3">
      <c r="C2249" s="2" t="s">
        <v>915</v>
      </c>
      <c r="D2249" s="2"/>
      <c r="E2249" s="2"/>
      <c r="F2249" s="2"/>
      <c r="G2249" s="2"/>
      <c r="H2249" s="2"/>
      <c r="I2249" s="2"/>
    </row>
    <row r="2250" spans="2:9" x14ac:dyDescent="0.3">
      <c r="C2250" t="str">
        <f>'HISTORICAL FS'!C14</f>
        <v>impairment losses on customer and other receivables</v>
      </c>
      <c r="E2250">
        <f>'HISTORICAL FS'!E14</f>
        <v>28.6</v>
      </c>
      <c r="F2250">
        <f>'HISTORICAL FS'!F14</f>
        <v>31</v>
      </c>
      <c r="G2250">
        <f>'HISTORICAL FS'!G14</f>
        <v>36</v>
      </c>
      <c r="H2250">
        <f>'HISTORICAL FS'!H14</f>
        <v>19.399999999999999</v>
      </c>
      <c r="I2250">
        <f>'HISTORICAL FS'!I14</f>
        <v>7.1</v>
      </c>
    </row>
    <row r="2251" spans="2:9" x14ac:dyDescent="0.3">
      <c r="C2251" t="str">
        <f>C1713</f>
        <v>Cost of inventories recognised as an expense</v>
      </c>
      <c r="E2251">
        <f t="shared" ref="E2251:I2252" si="20">E1713</f>
        <v>1674.6</v>
      </c>
      <c r="F2251">
        <f t="shared" si="20"/>
        <v>1785.4</v>
      </c>
      <c r="G2251">
        <f t="shared" si="20"/>
        <v>1809.2</v>
      </c>
      <c r="H2251">
        <f t="shared" si="20"/>
        <v>1909.3</v>
      </c>
      <c r="I2251">
        <f t="shared" si="20"/>
        <v>2123.6</v>
      </c>
    </row>
    <row r="2252" spans="2:9" x14ac:dyDescent="0.3">
      <c r="C2252" t="str">
        <f>C1714</f>
        <v>Write-down of inventories to net realisable value</v>
      </c>
      <c r="D2252">
        <f>D1714</f>
        <v>0</v>
      </c>
      <c r="E2252">
        <f t="shared" si="20"/>
        <v>102.4</v>
      </c>
      <c r="F2252">
        <f t="shared" si="20"/>
        <v>152.4</v>
      </c>
      <c r="G2252">
        <f t="shared" si="20"/>
        <v>125.8</v>
      </c>
      <c r="H2252">
        <f t="shared" si="20"/>
        <v>153.4</v>
      </c>
      <c r="I2252">
        <f t="shared" si="20"/>
        <v>162.1</v>
      </c>
    </row>
    <row r="2254" spans="2:9" x14ac:dyDescent="0.3">
      <c r="C2254" s="2" t="s">
        <v>916</v>
      </c>
      <c r="D2254" s="2"/>
      <c r="E2254" s="2"/>
      <c r="F2254" s="2"/>
      <c r="G2254" s="2"/>
      <c r="H2254" s="2"/>
      <c r="I2254" s="2"/>
    </row>
    <row r="2255" spans="2:9" x14ac:dyDescent="0.3">
      <c r="C2255" t="str">
        <f>C969</f>
        <v>Inventories</v>
      </c>
      <c r="E2255">
        <f t="shared" ref="E2255:I2257" si="21">E969</f>
        <v>633</v>
      </c>
      <c r="F2255">
        <f t="shared" si="21"/>
        <v>662.2</v>
      </c>
      <c r="G2255">
        <f t="shared" si="21"/>
        <v>769</v>
      </c>
      <c r="H2255">
        <f t="shared" si="21"/>
        <v>865.2</v>
      </c>
      <c r="I2255">
        <f t="shared" si="21"/>
        <v>949.5</v>
      </c>
    </row>
    <row r="2256" spans="2:9" x14ac:dyDescent="0.3">
      <c r="C2256" t="str">
        <f>C970</f>
        <v>Customer &amp; Other Receivables</v>
      </c>
      <c r="E2256">
        <f t="shared" si="21"/>
        <v>1280.9000000000001</v>
      </c>
      <c r="F2256">
        <f t="shared" si="21"/>
        <v>1425.5</v>
      </c>
      <c r="G2256">
        <f t="shared" si="21"/>
        <v>1452.8</v>
      </c>
      <c r="H2256">
        <f t="shared" si="21"/>
        <v>1508.4</v>
      </c>
      <c r="I2256">
        <f t="shared" si="21"/>
        <v>1660.6</v>
      </c>
    </row>
    <row r="2257" spans="2:9" x14ac:dyDescent="0.3">
      <c r="C2257" t="str">
        <f>C971</f>
        <v>Right of return Asset</v>
      </c>
      <c r="E2257">
        <f t="shared" si="21"/>
        <v>24.8</v>
      </c>
      <c r="F2257">
        <f t="shared" si="21"/>
        <v>32.700000000000003</v>
      </c>
      <c r="G2257">
        <f t="shared" si="21"/>
        <v>30.7</v>
      </c>
      <c r="H2257">
        <f t="shared" si="21"/>
        <v>34.799999999999997</v>
      </c>
      <c r="I2257">
        <f t="shared" si="21"/>
        <v>29.7</v>
      </c>
    </row>
    <row r="2258" spans="2:9" x14ac:dyDescent="0.3">
      <c r="C2258" t="str">
        <f>C982</f>
        <v>Trade Payables  &amp; Other Liabilities</v>
      </c>
      <c r="E2258">
        <f>E982</f>
        <v>798.4</v>
      </c>
      <c r="F2258">
        <f>F982</f>
        <v>791.1</v>
      </c>
      <c r="G2258">
        <f>G982</f>
        <v>991.8</v>
      </c>
      <c r="H2258">
        <f>H982</f>
        <v>1076.7</v>
      </c>
      <c r="I2258">
        <f>I982</f>
        <v>1132.4000000000001</v>
      </c>
    </row>
    <row r="2261" spans="2:9" x14ac:dyDescent="0.3">
      <c r="C2261" s="2" t="s">
        <v>914</v>
      </c>
      <c r="D2261" s="2"/>
      <c r="E2261" s="2"/>
      <c r="F2261" s="2"/>
      <c r="G2261" s="2"/>
      <c r="H2261" s="2"/>
      <c r="I2261" s="2"/>
    </row>
    <row r="2263" spans="2:9" x14ac:dyDescent="0.3">
      <c r="C2263" t="str">
        <f>C1682</f>
        <v>Working Capital/ other</v>
      </c>
      <c r="E2263">
        <f>E1682</f>
        <v>-183</v>
      </c>
      <c r="F2263">
        <f>F1682</f>
        <v>-268</v>
      </c>
      <c r="G2263">
        <f>G1682</f>
        <v>-4</v>
      </c>
      <c r="H2263">
        <f>H1682</f>
        <v>-97</v>
      </c>
      <c r="I2263">
        <f>I1682</f>
        <v>-143</v>
      </c>
    </row>
    <row r="2265" spans="2:9" x14ac:dyDescent="0.3">
      <c r="B2265" s="2" t="str">
        <f>B883</f>
        <v>Changes in Working capital:</v>
      </c>
    </row>
    <row r="2266" spans="2:9" x14ac:dyDescent="0.3">
      <c r="C2266" t="str">
        <f>C884</f>
        <v>Increase in inventories and right of return asset</v>
      </c>
      <c r="E2266">
        <f t="shared" ref="E2266:I2268" si="22">E884</f>
        <v>-96.5</v>
      </c>
      <c r="F2266">
        <f t="shared" si="22"/>
        <v>-22.8</v>
      </c>
      <c r="G2266">
        <f t="shared" si="22"/>
        <v>15.3</v>
      </c>
      <c r="H2266">
        <f t="shared" si="22"/>
        <v>-100.3</v>
      </c>
      <c r="I2266">
        <f t="shared" si="22"/>
        <v>-79.2</v>
      </c>
    </row>
    <row r="2267" spans="2:9" x14ac:dyDescent="0.3">
      <c r="C2267" t="str">
        <f>C885</f>
        <v>(Increase)/decrease in customer and other receivables</v>
      </c>
      <c r="E2267">
        <f t="shared" si="22"/>
        <v>-165.4</v>
      </c>
      <c r="F2267">
        <f t="shared" si="22"/>
        <v>-156.5</v>
      </c>
      <c r="G2267">
        <f t="shared" si="22"/>
        <v>3.7</v>
      </c>
      <c r="H2267">
        <f t="shared" si="22"/>
        <v>-52.3</v>
      </c>
      <c r="I2267">
        <f t="shared" si="22"/>
        <v>-153.69999999999999</v>
      </c>
    </row>
    <row r="2268" spans="2:9" x14ac:dyDescent="0.3">
      <c r="C2268" t="str">
        <f>C886</f>
        <v>Increase/(decrease) in trade and other payables</v>
      </c>
      <c r="E2268">
        <f t="shared" si="22"/>
        <v>235.2</v>
      </c>
      <c r="F2268">
        <f t="shared" si="22"/>
        <v>12</v>
      </c>
      <c r="G2268">
        <f t="shared" si="22"/>
        <v>47.6</v>
      </c>
      <c r="H2268">
        <f t="shared" si="22"/>
        <v>93.2</v>
      </c>
      <c r="I2268">
        <f t="shared" si="22"/>
        <v>45.9</v>
      </c>
    </row>
    <row r="2269" spans="2:9" x14ac:dyDescent="0.3">
      <c r="E2269" s="2">
        <f>SUM(E2266:E2268)</f>
        <v>-26.699999999999989</v>
      </c>
      <c r="F2269" s="2">
        <f>SUM(F2266:F2268)</f>
        <v>-167.3</v>
      </c>
      <c r="G2269" s="2">
        <f>SUM(G2266:G2268)</f>
        <v>66.599999999999994</v>
      </c>
      <c r="H2269" s="2">
        <f>SUM(H2266:H2268)</f>
        <v>-59.399999999999991</v>
      </c>
      <c r="I2269" s="2">
        <f>SUM(I2266:I2268)</f>
        <v>-186.99999999999997</v>
      </c>
    </row>
    <row r="2272" spans="2:9" x14ac:dyDescent="0.3">
      <c r="C2272" s="2" t="str">
        <f>C1371</f>
        <v>Bad debt provision release</v>
      </c>
      <c r="E2272">
        <f>E1371</f>
        <v>0</v>
      </c>
      <c r="F2272">
        <f>F1371</f>
        <v>0</v>
      </c>
      <c r="G2272">
        <f>G1371</f>
        <v>0</v>
      </c>
      <c r="H2272">
        <f>H1371</f>
        <v>10</v>
      </c>
      <c r="I2272">
        <f>I1371</f>
        <v>20</v>
      </c>
    </row>
    <row r="2273" spans="3:9" x14ac:dyDescent="0.3">
      <c r="C2273" t="str">
        <f>C1420</f>
        <v>Average debtor days</v>
      </c>
      <c r="E2273">
        <f t="shared" ref="E2273:I2277" si="23">E1420</f>
        <v>0</v>
      </c>
      <c r="F2273">
        <f t="shared" si="23"/>
        <v>0</v>
      </c>
      <c r="G2273">
        <f t="shared" si="23"/>
        <v>198</v>
      </c>
      <c r="H2273">
        <f t="shared" si="23"/>
        <v>194</v>
      </c>
      <c r="I2273">
        <f t="shared" si="23"/>
        <v>187</v>
      </c>
    </row>
    <row r="2274" spans="3:9" x14ac:dyDescent="0.3">
      <c r="C2274" t="str">
        <f>C1421</f>
        <v>Credit sales(online &amp; retail credit sales &amp; interest income)</v>
      </c>
      <c r="E2274">
        <f t="shared" si="23"/>
        <v>1977</v>
      </c>
      <c r="F2274">
        <f t="shared" si="23"/>
        <v>2035</v>
      </c>
      <c r="G2274">
        <f t="shared" si="23"/>
        <v>2027</v>
      </c>
      <c r="H2274">
        <f t="shared" si="23"/>
        <v>2070</v>
      </c>
      <c r="I2274">
        <f t="shared" si="23"/>
        <v>2190</v>
      </c>
    </row>
    <row r="2275" spans="3:9" x14ac:dyDescent="0.3">
      <c r="C2275" t="str">
        <f>C1422</f>
        <v>Customer receivables</v>
      </c>
      <c r="E2275">
        <f t="shared" si="23"/>
        <v>0</v>
      </c>
      <c r="F2275">
        <f t="shared" si="23"/>
        <v>1255</v>
      </c>
      <c r="G2275">
        <f t="shared" si="23"/>
        <v>1270</v>
      </c>
      <c r="H2275">
        <f t="shared" si="23"/>
        <v>0</v>
      </c>
      <c r="I2275">
        <f t="shared" si="23"/>
        <v>0</v>
      </c>
    </row>
    <row r="2276" spans="3:9" x14ac:dyDescent="0.3">
      <c r="C2276" t="str">
        <f>C1423</f>
        <v>other creditors/ derivatives</v>
      </c>
      <c r="E2276">
        <f t="shared" si="23"/>
        <v>-815</v>
      </c>
      <c r="F2276">
        <f t="shared" si="23"/>
        <v>813</v>
      </c>
      <c r="G2276">
        <f t="shared" si="23"/>
        <v>1004</v>
      </c>
      <c r="H2276">
        <f t="shared" si="23"/>
        <v>0</v>
      </c>
      <c r="I2276">
        <f t="shared" si="23"/>
        <v>0</v>
      </c>
    </row>
    <row r="2277" spans="3:9" x14ac:dyDescent="0.3">
      <c r="C2277" t="str">
        <f>C1424</f>
        <v>Debtors/ other receivables</v>
      </c>
      <c r="E2277">
        <f t="shared" si="23"/>
        <v>1281</v>
      </c>
      <c r="F2277">
        <f t="shared" si="23"/>
        <v>0</v>
      </c>
      <c r="G2277">
        <f t="shared" si="23"/>
        <v>0</v>
      </c>
      <c r="H2277">
        <f t="shared" si="23"/>
        <v>0</v>
      </c>
      <c r="I2277">
        <f t="shared" si="23"/>
        <v>0</v>
      </c>
    </row>
    <row r="2278" spans="3:9" x14ac:dyDescent="0.3">
      <c r="E2278">
        <f>SUM(E2275+E2277)</f>
        <v>1281</v>
      </c>
      <c r="F2278">
        <f>SUM(F2275+F2277)</f>
        <v>1255</v>
      </c>
      <c r="G2278">
        <f>SUM(G2275+G2277)</f>
        <v>1270</v>
      </c>
      <c r="H2278">
        <f>SUM(H2275+H2277)</f>
        <v>0</v>
      </c>
      <c r="I2278">
        <f>SUM(I2275+I2277)</f>
        <v>0</v>
      </c>
    </row>
    <row r="2282" spans="3:9" x14ac:dyDescent="0.3">
      <c r="C2282" s="2" t="str">
        <f>C1426</f>
        <v>Credit sales</v>
      </c>
      <c r="E2282">
        <f t="shared" ref="E2282:I2286" si="24">E1426</f>
        <v>1977</v>
      </c>
      <c r="F2282">
        <f t="shared" si="24"/>
        <v>0</v>
      </c>
      <c r="G2282">
        <f t="shared" si="24"/>
        <v>0</v>
      </c>
      <c r="H2282">
        <f t="shared" si="24"/>
        <v>0</v>
      </c>
      <c r="I2282">
        <f t="shared" si="24"/>
        <v>0</v>
      </c>
    </row>
    <row r="2283" spans="3:9" x14ac:dyDescent="0.3">
      <c r="C2283" t="str">
        <f>C1427</f>
        <v>Full price Online credit sales</v>
      </c>
      <c r="E2283">
        <f t="shared" si="24"/>
        <v>1436</v>
      </c>
      <c r="F2283">
        <f t="shared" si="24"/>
        <v>0</v>
      </c>
      <c r="G2283">
        <f t="shared" si="24"/>
        <v>0</v>
      </c>
      <c r="H2283">
        <f t="shared" si="24"/>
        <v>0</v>
      </c>
      <c r="I2283">
        <f t="shared" si="24"/>
        <v>0</v>
      </c>
    </row>
    <row r="2284" spans="3:9" x14ac:dyDescent="0.3">
      <c r="C2284" t="str">
        <f>C1428</f>
        <v>Markdown online credit sales</v>
      </c>
      <c r="E2284">
        <f t="shared" si="24"/>
        <v>190</v>
      </c>
      <c r="F2284">
        <f t="shared" si="24"/>
        <v>0</v>
      </c>
      <c r="G2284">
        <f t="shared" si="24"/>
        <v>0</v>
      </c>
      <c r="H2284">
        <f t="shared" si="24"/>
        <v>0</v>
      </c>
      <c r="I2284">
        <f t="shared" si="24"/>
        <v>0</v>
      </c>
    </row>
    <row r="2285" spans="3:9" x14ac:dyDescent="0.3">
      <c r="C2285" t="str">
        <f>C1429</f>
        <v>Retail credit sales</v>
      </c>
      <c r="E2285">
        <f t="shared" si="24"/>
        <v>102</v>
      </c>
      <c r="F2285">
        <f t="shared" si="24"/>
        <v>0</v>
      </c>
      <c r="G2285">
        <f t="shared" si="24"/>
        <v>0</v>
      </c>
      <c r="H2285">
        <f t="shared" si="24"/>
        <v>0</v>
      </c>
      <c r="I2285">
        <f t="shared" si="24"/>
        <v>0</v>
      </c>
    </row>
    <row r="2286" spans="3:9" x14ac:dyDescent="0.3">
      <c r="C2286" t="str">
        <f>C1430</f>
        <v>interest income</v>
      </c>
      <c r="E2286">
        <f t="shared" si="24"/>
        <v>249</v>
      </c>
      <c r="F2286">
        <f t="shared" si="24"/>
        <v>0</v>
      </c>
      <c r="G2286">
        <f t="shared" si="24"/>
        <v>0</v>
      </c>
      <c r="H2286">
        <f t="shared" si="24"/>
        <v>0</v>
      </c>
      <c r="I2286">
        <f t="shared" si="24"/>
        <v>0</v>
      </c>
    </row>
    <row r="2288" spans="3:9" x14ac:dyDescent="0.3">
      <c r="C2288" s="2" t="str">
        <f>C1432</f>
        <v>Average customer receivables</v>
      </c>
      <c r="E2288">
        <f>E1432</f>
        <v>1062</v>
      </c>
      <c r="F2288">
        <f>F1432</f>
        <v>0</v>
      </c>
      <c r="G2288">
        <f>G1432</f>
        <v>0</v>
      </c>
      <c r="H2288">
        <f>H1432</f>
        <v>0</v>
      </c>
      <c r="I2288">
        <f>I1432</f>
        <v>0</v>
      </c>
    </row>
    <row r="2290" spans="3:9" x14ac:dyDescent="0.3">
      <c r="C2290" t="str">
        <f t="shared" ref="C2290:C2295" si="25">C1434</f>
        <v>Interest income</v>
      </c>
      <c r="E2290">
        <f t="shared" ref="E2290:I2295" si="26">E1434</f>
        <v>249</v>
      </c>
      <c r="F2290">
        <f t="shared" si="26"/>
        <v>0</v>
      </c>
      <c r="G2290">
        <f t="shared" si="26"/>
        <v>0</v>
      </c>
      <c r="H2290">
        <f t="shared" si="26"/>
        <v>0</v>
      </c>
      <c r="I2290">
        <f t="shared" si="26"/>
        <v>0</v>
      </c>
    </row>
    <row r="2291" spans="3:9" x14ac:dyDescent="0.3">
      <c r="C2291" t="str">
        <f t="shared" si="25"/>
        <v>Bad debt charge</v>
      </c>
      <c r="E2291">
        <f t="shared" si="26"/>
        <v>-27</v>
      </c>
      <c r="F2291">
        <f t="shared" si="26"/>
        <v>0</v>
      </c>
      <c r="G2291">
        <f t="shared" si="26"/>
        <v>0</v>
      </c>
      <c r="H2291">
        <f t="shared" si="26"/>
        <v>0</v>
      </c>
      <c r="I2291">
        <f t="shared" si="26"/>
        <v>0</v>
      </c>
    </row>
    <row r="2292" spans="3:9" x14ac:dyDescent="0.3">
      <c r="C2292" t="str">
        <f t="shared" si="25"/>
        <v>Overheads</v>
      </c>
      <c r="E2292">
        <f t="shared" si="26"/>
        <v>-49</v>
      </c>
      <c r="F2292">
        <f t="shared" si="26"/>
        <v>0</v>
      </c>
      <c r="G2292">
        <f t="shared" si="26"/>
        <v>0</v>
      </c>
      <c r="H2292">
        <f t="shared" si="26"/>
        <v>0</v>
      </c>
      <c r="I2292">
        <f t="shared" si="26"/>
        <v>0</v>
      </c>
    </row>
    <row r="2293" spans="3:9" x14ac:dyDescent="0.3">
      <c r="C2293" t="str">
        <f t="shared" si="25"/>
        <v>Profit before cost of funding</v>
      </c>
      <c r="E2293">
        <f t="shared" si="26"/>
        <v>173</v>
      </c>
      <c r="F2293">
        <f t="shared" si="26"/>
        <v>0</v>
      </c>
      <c r="G2293">
        <f t="shared" si="26"/>
        <v>0</v>
      </c>
      <c r="H2293">
        <f t="shared" si="26"/>
        <v>0</v>
      </c>
      <c r="I2293">
        <f t="shared" si="26"/>
        <v>0</v>
      </c>
    </row>
    <row r="2294" spans="3:9" x14ac:dyDescent="0.3">
      <c r="C2294" t="str">
        <f t="shared" si="25"/>
        <v>Cost of funding</v>
      </c>
      <c r="E2294">
        <f t="shared" si="26"/>
        <v>-31</v>
      </c>
      <c r="F2294">
        <f t="shared" si="26"/>
        <v>0</v>
      </c>
      <c r="G2294">
        <f t="shared" si="26"/>
        <v>0</v>
      </c>
      <c r="H2294">
        <f t="shared" si="26"/>
        <v>0</v>
      </c>
      <c r="I2294">
        <f t="shared" si="26"/>
        <v>0</v>
      </c>
    </row>
    <row r="2295" spans="3:9" x14ac:dyDescent="0.3">
      <c r="C2295" t="str">
        <f t="shared" si="25"/>
        <v>Net profit</v>
      </c>
      <c r="E2295">
        <f t="shared" si="26"/>
        <v>142</v>
      </c>
      <c r="F2295">
        <f t="shared" si="26"/>
        <v>0</v>
      </c>
      <c r="G2295">
        <f t="shared" si="26"/>
        <v>0</v>
      </c>
      <c r="H2295">
        <f t="shared" si="26"/>
        <v>0</v>
      </c>
      <c r="I2295">
        <f t="shared" si="26"/>
        <v>0</v>
      </c>
    </row>
    <row r="2297" spans="3:9" x14ac:dyDescent="0.3">
      <c r="C2297" s="2" t="str">
        <f>C1452</f>
        <v>Online Receivables</v>
      </c>
      <c r="E2297">
        <f>E1452</f>
        <v>0</v>
      </c>
      <c r="F2297">
        <f>F1452</f>
        <v>-92</v>
      </c>
      <c r="G2297">
        <f>G1452</f>
        <v>-16</v>
      </c>
      <c r="H2297">
        <f>H1452</f>
        <v>0</v>
      </c>
      <c r="I2297">
        <f>I1452</f>
        <v>0</v>
      </c>
    </row>
    <row r="2300" spans="3:9" x14ac:dyDescent="0.3">
      <c r="C2300" s="2" t="str">
        <f>C1472</f>
        <v>Customer receivables</v>
      </c>
      <c r="E2300">
        <f t="shared" ref="E2300:I2302" si="27">E1472</f>
        <v>0</v>
      </c>
      <c r="F2300">
        <f t="shared" si="27"/>
        <v>1255</v>
      </c>
      <c r="G2300">
        <f t="shared" si="27"/>
        <v>1270</v>
      </c>
      <c r="H2300">
        <f t="shared" si="27"/>
        <v>1314</v>
      </c>
      <c r="I2300">
        <f t="shared" si="27"/>
        <v>1340</v>
      </c>
    </row>
    <row r="2301" spans="3:9" x14ac:dyDescent="0.3">
      <c r="C2301" t="str">
        <f>C1473</f>
        <v>Other debtors</v>
      </c>
      <c r="E2301">
        <f t="shared" si="27"/>
        <v>1281</v>
      </c>
      <c r="F2301">
        <f t="shared" si="27"/>
        <v>133</v>
      </c>
      <c r="G2301">
        <f t="shared" si="27"/>
        <v>168</v>
      </c>
      <c r="H2301">
        <f t="shared" si="27"/>
        <v>182</v>
      </c>
      <c r="I2301">
        <f t="shared" si="27"/>
        <v>294</v>
      </c>
    </row>
    <row r="2302" spans="3:9" x14ac:dyDescent="0.3">
      <c r="C2302" t="str">
        <f>C1474</f>
        <v>Creditors &amp; Derivatives</v>
      </c>
      <c r="E2302">
        <f t="shared" si="27"/>
        <v>-815</v>
      </c>
      <c r="F2302">
        <f t="shared" si="27"/>
        <v>-813</v>
      </c>
      <c r="G2302">
        <f t="shared" si="27"/>
        <v>-1004</v>
      </c>
      <c r="H2302">
        <f t="shared" si="27"/>
        <v>-1054</v>
      </c>
      <c r="I2302">
        <f t="shared" si="27"/>
        <v>-1153</v>
      </c>
    </row>
    <row r="2304" spans="3:9" x14ac:dyDescent="0.3">
      <c r="C2304" s="2" t="str">
        <f>C1505</f>
        <v>Customer &amp; Other Receivables</v>
      </c>
      <c r="E2304">
        <f t="shared" ref="E2304:I2307" si="28">E1505</f>
        <v>0</v>
      </c>
      <c r="F2304">
        <f t="shared" si="28"/>
        <v>0</v>
      </c>
      <c r="G2304">
        <f t="shared" si="28"/>
        <v>0</v>
      </c>
      <c r="H2304">
        <f t="shared" si="28"/>
        <v>0</v>
      </c>
      <c r="I2304">
        <f t="shared" si="28"/>
        <v>0</v>
      </c>
    </row>
    <row r="2305" spans="3:10" x14ac:dyDescent="0.3">
      <c r="C2305" t="str">
        <f>C1506</f>
        <v>Credit sales</v>
      </c>
      <c r="E2305">
        <f t="shared" si="28"/>
        <v>0</v>
      </c>
      <c r="F2305">
        <f t="shared" si="28"/>
        <v>0</v>
      </c>
      <c r="G2305">
        <f t="shared" si="28"/>
        <v>0</v>
      </c>
      <c r="H2305">
        <f t="shared" si="28"/>
        <v>2070</v>
      </c>
      <c r="I2305">
        <f t="shared" si="28"/>
        <v>2190</v>
      </c>
    </row>
    <row r="2306" spans="3:10" x14ac:dyDescent="0.3">
      <c r="C2306" t="str">
        <f>C1507</f>
        <v>Average customer receivables</v>
      </c>
      <c r="E2306">
        <f t="shared" si="28"/>
        <v>0</v>
      </c>
      <c r="F2306">
        <f t="shared" si="28"/>
        <v>0</v>
      </c>
      <c r="G2306">
        <f t="shared" si="28"/>
        <v>0</v>
      </c>
      <c r="H2306">
        <f t="shared" si="28"/>
        <v>1259</v>
      </c>
      <c r="I2306">
        <f t="shared" si="28"/>
        <v>1284</v>
      </c>
    </row>
    <row r="2307" spans="3:10" x14ac:dyDescent="0.3">
      <c r="C2307" t="str">
        <f>C1508</f>
        <v>closing customer receivables</v>
      </c>
      <c r="E2307">
        <f t="shared" si="28"/>
        <v>0</v>
      </c>
      <c r="F2307">
        <f t="shared" si="28"/>
        <v>0</v>
      </c>
      <c r="G2307">
        <f t="shared" si="28"/>
        <v>0</v>
      </c>
      <c r="H2307">
        <f t="shared" si="28"/>
        <v>1314</v>
      </c>
      <c r="I2307">
        <f t="shared" si="28"/>
        <v>1340</v>
      </c>
    </row>
    <row r="2310" spans="3:10" x14ac:dyDescent="0.3">
      <c r="C2310" s="2" t="str">
        <f t="shared" ref="C2310:C2316" si="29">C1511</f>
        <v>Customer &amp; Other Receivables</v>
      </c>
      <c r="E2310">
        <f t="shared" ref="E2310:I2316" si="30">E1511</f>
        <v>0</v>
      </c>
      <c r="F2310">
        <f t="shared" si="30"/>
        <v>0</v>
      </c>
      <c r="G2310">
        <f t="shared" si="30"/>
        <v>0</v>
      </c>
      <c r="H2310">
        <f t="shared" si="30"/>
        <v>0</v>
      </c>
      <c r="I2310">
        <f t="shared" si="30"/>
        <v>0</v>
      </c>
    </row>
    <row r="2311" spans="3:10" x14ac:dyDescent="0.3">
      <c r="C2311" t="str">
        <f t="shared" si="29"/>
        <v>Net Customer receivables (net ECL)</v>
      </c>
      <c r="E2311">
        <f t="shared" si="30"/>
        <v>1162.7</v>
      </c>
      <c r="F2311">
        <f t="shared" si="30"/>
        <v>1254.7</v>
      </c>
      <c r="G2311">
        <f t="shared" si="30"/>
        <v>1270.3999999999999</v>
      </c>
      <c r="H2311">
        <f t="shared" si="30"/>
        <v>1322.7</v>
      </c>
      <c r="I2311">
        <f t="shared" si="30"/>
        <v>1368.1</v>
      </c>
      <c r="J2311">
        <v>1323</v>
      </c>
    </row>
    <row r="2312" spans="3:10" x14ac:dyDescent="0.3">
      <c r="C2312" t="str">
        <f t="shared" si="29"/>
        <v>other trade  receivables(net of allowance)</v>
      </c>
      <c r="E2312">
        <f t="shared" si="30"/>
        <v>24.4</v>
      </c>
      <c r="F2312">
        <f t="shared" si="30"/>
        <v>42.6</v>
      </c>
      <c r="G2312">
        <f t="shared" si="30"/>
        <v>62.900000000000006</v>
      </c>
      <c r="H2312">
        <f t="shared" si="30"/>
        <v>46.5</v>
      </c>
      <c r="I2312">
        <f t="shared" si="30"/>
        <v>139.79999999999998</v>
      </c>
    </row>
    <row r="2313" spans="3:10" x14ac:dyDescent="0.3">
      <c r="C2313" t="str">
        <f t="shared" si="29"/>
        <v>prepayments</v>
      </c>
      <c r="E2313">
        <f t="shared" si="30"/>
        <v>53.1</v>
      </c>
      <c r="F2313">
        <f t="shared" si="30"/>
        <v>54.9</v>
      </c>
      <c r="G2313">
        <f t="shared" si="30"/>
        <v>63.6</v>
      </c>
      <c r="H2313">
        <f t="shared" si="30"/>
        <v>68.3</v>
      </c>
      <c r="I2313">
        <f t="shared" si="30"/>
        <v>77.400000000000006</v>
      </c>
    </row>
    <row r="2314" spans="3:10" x14ac:dyDescent="0.3">
      <c r="C2314" t="str">
        <f t="shared" si="29"/>
        <v>other debtors</v>
      </c>
      <c r="E2314">
        <f t="shared" si="30"/>
        <v>14.1</v>
      </c>
      <c r="F2314">
        <f t="shared" si="30"/>
        <v>40.700000000000003</v>
      </c>
      <c r="G2314">
        <f t="shared" si="30"/>
        <v>43.8</v>
      </c>
      <c r="H2314">
        <f t="shared" si="30"/>
        <v>58.7</v>
      </c>
      <c r="I2314">
        <f t="shared" si="30"/>
        <v>55.4</v>
      </c>
    </row>
    <row r="2315" spans="3:10" x14ac:dyDescent="0.3">
      <c r="C2315" t="str">
        <f t="shared" si="29"/>
        <v>Amount due from associates and joint ventures</v>
      </c>
      <c r="E2315">
        <f t="shared" si="30"/>
        <v>26.6</v>
      </c>
      <c r="F2315">
        <f t="shared" si="30"/>
        <v>32.6</v>
      </c>
      <c r="G2315">
        <f t="shared" si="30"/>
        <v>12.1</v>
      </c>
      <c r="H2315">
        <f t="shared" si="30"/>
        <v>12.2</v>
      </c>
      <c r="I2315">
        <f t="shared" si="30"/>
        <v>19.899999999999999</v>
      </c>
    </row>
    <row r="2316" spans="3:10" x14ac:dyDescent="0.3">
      <c r="C2316" t="str">
        <f t="shared" si="29"/>
        <v>Total</v>
      </c>
      <c r="E2316">
        <f t="shared" si="30"/>
        <v>1280.8999999999999</v>
      </c>
      <c r="F2316">
        <f t="shared" si="30"/>
        <v>1425.5</v>
      </c>
      <c r="G2316">
        <f t="shared" si="30"/>
        <v>1452.7999999999997</v>
      </c>
      <c r="H2316">
        <f t="shared" si="30"/>
        <v>1508.4</v>
      </c>
      <c r="I2316">
        <f t="shared" si="30"/>
        <v>1660.6000000000001</v>
      </c>
    </row>
    <row r="2318" spans="3:10" x14ac:dyDescent="0.3">
      <c r="C2318" s="2" t="s">
        <v>932</v>
      </c>
      <c r="E2318">
        <f>E2316-E2256</f>
        <v>0</v>
      </c>
      <c r="F2318">
        <f>F2316-F2256</f>
        <v>0</v>
      </c>
      <c r="G2318">
        <f>G2316-G2256</f>
        <v>0</v>
      </c>
      <c r="H2318">
        <f>H2316-H2256</f>
        <v>0</v>
      </c>
      <c r="I2318">
        <f>I2316-I2256</f>
        <v>0</v>
      </c>
    </row>
    <row r="2321" spans="3:9" x14ac:dyDescent="0.3">
      <c r="C2321" s="2" t="str">
        <f>C1519</f>
        <v>Net customer receivables</v>
      </c>
      <c r="E2321">
        <f t="shared" ref="E2321:I2323" si="31">E1519</f>
        <v>1353.9</v>
      </c>
      <c r="F2321">
        <f t="shared" si="31"/>
        <v>1456.9</v>
      </c>
      <c r="G2321">
        <f t="shared" si="31"/>
        <v>1477.8</v>
      </c>
      <c r="H2321">
        <f t="shared" si="31"/>
        <v>1504.3</v>
      </c>
      <c r="I2321">
        <f t="shared" si="31"/>
        <v>1533.5</v>
      </c>
    </row>
    <row r="2322" spans="3:9" x14ac:dyDescent="0.3">
      <c r="C2322" t="str">
        <f>C1520</f>
        <v>allowance of expected credit losses</v>
      </c>
      <c r="E2322">
        <f t="shared" si="31"/>
        <v>191.2</v>
      </c>
      <c r="F2322">
        <f t="shared" si="31"/>
        <v>202.2</v>
      </c>
      <c r="G2322">
        <f t="shared" si="31"/>
        <v>207.4</v>
      </c>
      <c r="H2322">
        <f t="shared" si="31"/>
        <v>181.6</v>
      </c>
      <c r="I2322">
        <f t="shared" si="31"/>
        <v>165.4</v>
      </c>
    </row>
    <row r="2323" spans="3:9" x14ac:dyDescent="0.3">
      <c r="C2323" t="str">
        <f>C1521</f>
        <v>Total</v>
      </c>
      <c r="E2323">
        <f t="shared" si="31"/>
        <v>1162.7</v>
      </c>
      <c r="F2323">
        <f t="shared" si="31"/>
        <v>1254.7</v>
      </c>
      <c r="G2323">
        <f t="shared" si="31"/>
        <v>1270.3999999999999</v>
      </c>
      <c r="H2323">
        <f t="shared" si="31"/>
        <v>1322.7</v>
      </c>
      <c r="I2323">
        <f t="shared" si="31"/>
        <v>1368.1</v>
      </c>
    </row>
    <row r="2325" spans="3:9" x14ac:dyDescent="0.3">
      <c r="C2325" s="2" t="str">
        <f>C1523</f>
        <v>other trade receivables</v>
      </c>
      <c r="E2325">
        <f t="shared" ref="E2325:I2327" si="32">E1523</f>
        <v>24.9</v>
      </c>
      <c r="F2325">
        <f t="shared" si="32"/>
        <v>42.9</v>
      </c>
      <c r="G2325">
        <f t="shared" si="32"/>
        <v>64.900000000000006</v>
      </c>
      <c r="H2325">
        <f t="shared" si="32"/>
        <v>47.9</v>
      </c>
      <c r="I2325">
        <f t="shared" si="32"/>
        <v>143.69999999999999</v>
      </c>
    </row>
    <row r="2326" spans="3:9" x14ac:dyDescent="0.3">
      <c r="C2326" t="str">
        <f>C1524</f>
        <v>allowance for doubtful debts</v>
      </c>
      <c r="E2326">
        <f t="shared" si="32"/>
        <v>0.5</v>
      </c>
      <c r="F2326">
        <f t="shared" si="32"/>
        <v>0.3</v>
      </c>
      <c r="G2326">
        <f t="shared" si="32"/>
        <v>2</v>
      </c>
      <c r="H2326">
        <f t="shared" si="32"/>
        <v>1.4</v>
      </c>
      <c r="I2326">
        <f t="shared" si="32"/>
        <v>3.9</v>
      </c>
    </row>
    <row r="2327" spans="3:9" x14ac:dyDescent="0.3">
      <c r="C2327" t="str">
        <f>C1525</f>
        <v>Total</v>
      </c>
      <c r="E2327">
        <f t="shared" si="32"/>
        <v>24.4</v>
      </c>
      <c r="F2327">
        <f t="shared" si="32"/>
        <v>42.6</v>
      </c>
      <c r="G2327">
        <f t="shared" si="32"/>
        <v>62.900000000000006</v>
      </c>
      <c r="H2327">
        <f t="shared" si="32"/>
        <v>46.5</v>
      </c>
      <c r="I2327">
        <f t="shared" si="32"/>
        <v>139.79999999999998</v>
      </c>
    </row>
    <row r="2330" spans="3:9" x14ac:dyDescent="0.3">
      <c r="C2330" t="str">
        <f>C1906</f>
        <v>Increase in inventories and right of return asset</v>
      </c>
      <c r="F2330">
        <f t="shared" ref="F2330:I2332" si="33">F1906</f>
        <v>-22.8</v>
      </c>
      <c r="G2330">
        <f t="shared" si="33"/>
        <v>15.3</v>
      </c>
      <c r="H2330">
        <f t="shared" si="33"/>
        <v>-100.3</v>
      </c>
      <c r="I2330">
        <f t="shared" si="33"/>
        <v>-79.2</v>
      </c>
    </row>
    <row r="2331" spans="3:9" x14ac:dyDescent="0.3">
      <c r="C2331" t="str">
        <f>C1907</f>
        <v>(Increase)/decrease in customer and other receivables</v>
      </c>
      <c r="F2331">
        <f t="shared" si="33"/>
        <v>-156.5</v>
      </c>
      <c r="G2331">
        <f t="shared" si="33"/>
        <v>3.7</v>
      </c>
      <c r="H2331">
        <f t="shared" si="33"/>
        <v>-52.3</v>
      </c>
      <c r="I2331">
        <f t="shared" si="33"/>
        <v>-153.69999999999999</v>
      </c>
    </row>
    <row r="2332" spans="3:9" x14ac:dyDescent="0.3">
      <c r="C2332" t="str">
        <f>C1908</f>
        <v>Increase/(decrease) in trade and other payables</v>
      </c>
      <c r="F2332">
        <f t="shared" si="33"/>
        <v>12</v>
      </c>
      <c r="G2332">
        <f t="shared" si="33"/>
        <v>47.6</v>
      </c>
      <c r="H2332">
        <f t="shared" si="33"/>
        <v>93.2</v>
      </c>
      <c r="I2332">
        <f t="shared" si="33"/>
        <v>45.9</v>
      </c>
    </row>
    <row r="2335" spans="3:9" x14ac:dyDescent="0.3">
      <c r="C2335" s="2" t="s">
        <v>934</v>
      </c>
    </row>
    <row r="2336" spans="3:9" x14ac:dyDescent="0.3">
      <c r="C2336" t="s">
        <v>935</v>
      </c>
      <c r="H2336">
        <v>81.099999999999994</v>
      </c>
      <c r="I2336">
        <v>58.9</v>
      </c>
    </row>
    <row r="2337" spans="3:14" x14ac:dyDescent="0.3">
      <c r="C2337" t="s">
        <v>936</v>
      </c>
      <c r="H2337">
        <v>0.3</v>
      </c>
      <c r="I2337">
        <v>0.4</v>
      </c>
    </row>
    <row r="2340" spans="3:14" x14ac:dyDescent="0.3">
      <c r="C2340" t="s">
        <v>937</v>
      </c>
      <c r="H2340">
        <v>-21</v>
      </c>
      <c r="I2340">
        <v>-26</v>
      </c>
      <c r="J2340">
        <v>17</v>
      </c>
    </row>
    <row r="2342" spans="3:14" x14ac:dyDescent="0.3">
      <c r="C2342" t="s">
        <v>938</v>
      </c>
      <c r="F2342">
        <f>G2342+G2267</f>
        <v>1458.3</v>
      </c>
      <c r="G2342">
        <f>H2342+H2267</f>
        <v>1454.6</v>
      </c>
      <c r="H2342">
        <f>I2342+I2267</f>
        <v>1506.8999999999999</v>
      </c>
      <c r="I2342">
        <f>I2256</f>
        <v>1660.6</v>
      </c>
    </row>
    <row r="2344" spans="3:14" x14ac:dyDescent="0.3">
      <c r="F2344">
        <f>F2342-F2256</f>
        <v>32.799999999999955</v>
      </c>
      <c r="G2344">
        <f>G2342-G2256</f>
        <v>1.7999999999999545</v>
      </c>
      <c r="H2344">
        <f>H2342-H2256</f>
        <v>-1.5000000000002274</v>
      </c>
      <c r="I2344">
        <f>I2342-I2256</f>
        <v>0</v>
      </c>
    </row>
    <row r="2346" spans="3:14" x14ac:dyDescent="0.3">
      <c r="C2346" t="s">
        <v>939</v>
      </c>
      <c r="E2346">
        <f>F2256-E2256</f>
        <v>144.59999999999991</v>
      </c>
      <c r="F2346">
        <f>G2256-F2256</f>
        <v>27.299999999999955</v>
      </c>
      <c r="G2346">
        <f>H2256-G2256</f>
        <v>55.600000000000136</v>
      </c>
      <c r="H2346">
        <f>I2256-H2256</f>
        <v>152.19999999999982</v>
      </c>
      <c r="I2346">
        <f>I2316</f>
        <v>1660.6000000000001</v>
      </c>
    </row>
    <row r="2348" spans="3:14" x14ac:dyDescent="0.3">
      <c r="C2348" t="s">
        <v>940</v>
      </c>
      <c r="D2348">
        <f>AVERAGE(E2348:I2348)</f>
        <v>226.06773732635514</v>
      </c>
      <c r="E2348">
        <f>(E2311/E2349)*ASSUMPTIONS!E7</f>
        <v>214.6613555892767</v>
      </c>
      <c r="F2348">
        <f>(F2311/F2349)*ASSUMPTIONS!F7</f>
        <v>225.04447174447174</v>
      </c>
      <c r="G2348">
        <f>(G2311/G2349)*ASSUMPTIONS!G7</f>
        <v>229.38648248643312</v>
      </c>
      <c r="H2348">
        <f>(H2311/H2349)*ASSUMPTIONS!H7</f>
        <v>233.22971014492754</v>
      </c>
      <c r="I2348">
        <f>(I2311/I2349)*ASSUMPTIONS!I7</f>
        <v>228.01666666666668</v>
      </c>
    </row>
    <row r="2349" spans="3:14" x14ac:dyDescent="0.3">
      <c r="C2349" t="str">
        <f>C2274</f>
        <v>Credit sales(online &amp; retail credit sales &amp; interest income)</v>
      </c>
      <c r="D2349">
        <v>1747.6</v>
      </c>
      <c r="E2349">
        <f>E2274</f>
        <v>1977</v>
      </c>
      <c r="F2349">
        <f>F2274</f>
        <v>2035</v>
      </c>
      <c r="G2349">
        <f>G2274</f>
        <v>2027</v>
      </c>
      <c r="H2349">
        <f>H2274</f>
        <v>2070</v>
      </c>
      <c r="I2349">
        <f>I2274</f>
        <v>2190</v>
      </c>
      <c r="J2349">
        <f>J2383*'MODEL&amp;SCHEDULE'!J13</f>
        <v>2234.1595716220095</v>
      </c>
      <c r="K2349">
        <f>K2383*'MODEL&amp;SCHEDULE'!K13</f>
        <v>2390.5873671457216</v>
      </c>
      <c r="L2349">
        <f>L2383*'MODEL&amp;SCHEDULE'!L13</f>
        <v>2541.7646097860356</v>
      </c>
      <c r="M2349">
        <f>M2383*'MODEL&amp;SCHEDULE'!M13</f>
        <v>2894.8695353673775</v>
      </c>
      <c r="N2349">
        <f>N2383*'MODEL&amp;SCHEDULE'!N13</f>
        <v>3256.0220808124191</v>
      </c>
    </row>
    <row r="2350" spans="3:14" x14ac:dyDescent="0.3">
      <c r="C2350" t="s">
        <v>942</v>
      </c>
      <c r="D2350" s="90">
        <f>AVERAGE(F2350:I2350)</f>
        <v>2.6147701652896566E-2</v>
      </c>
      <c r="F2350" s="60">
        <f>F2349/E2349-1</f>
        <v>2.9337379868487501E-2</v>
      </c>
      <c r="G2350" s="60">
        <f>G2349/F2349-1</f>
        <v>-3.9312039312039415E-3</v>
      </c>
      <c r="H2350" s="60">
        <f>H2349/G2349-1</f>
        <v>2.1213616181549044E-2</v>
      </c>
      <c r="I2350" s="60">
        <f>I2349/H2349-1</f>
        <v>5.7971014492753659E-2</v>
      </c>
    </row>
    <row r="2351" spans="3:14" x14ac:dyDescent="0.3">
      <c r="C2351" t="s">
        <v>622</v>
      </c>
      <c r="D2351" s="60">
        <f>((I2349/E2349)^0.25) -1</f>
        <v>2.5910232170859082E-2</v>
      </c>
      <c r="F2351" s="60"/>
      <c r="G2351" s="60"/>
      <c r="H2351" s="60"/>
      <c r="I2351" s="60"/>
    </row>
    <row r="2353" spans="3:10" x14ac:dyDescent="0.3">
      <c r="C2353" s="2" t="s">
        <v>914</v>
      </c>
    </row>
    <row r="2354" spans="3:10" x14ac:dyDescent="0.3">
      <c r="C2354" t="s">
        <v>930</v>
      </c>
      <c r="D2354">
        <v>2.6147701652896566E-2</v>
      </c>
      <c r="H2354">
        <v>30</v>
      </c>
      <c r="I2354">
        <v>109</v>
      </c>
    </row>
    <row r="2355" spans="3:10" x14ac:dyDescent="0.3">
      <c r="D2355">
        <v>2.5910232170859082E-2</v>
      </c>
      <c r="I2355">
        <v>79</v>
      </c>
      <c r="J2355">
        <v>75</v>
      </c>
    </row>
    <row r="2356" spans="3:10" x14ac:dyDescent="0.3">
      <c r="C2356" t="s">
        <v>931</v>
      </c>
      <c r="I2356">
        <v>-29</v>
      </c>
    </row>
    <row r="2360" spans="3:10" x14ac:dyDescent="0.3">
      <c r="C2360" s="2" t="s">
        <v>929</v>
      </c>
    </row>
    <row r="2361" spans="3:10" x14ac:dyDescent="0.3">
      <c r="C2361" t="str">
        <f>C2312</f>
        <v>other trade  receivables(net of allowance)</v>
      </c>
      <c r="E2361">
        <f t="shared" ref="E2361:I2362" si="34">E2312</f>
        <v>24.4</v>
      </c>
      <c r="F2361">
        <f t="shared" si="34"/>
        <v>42.6</v>
      </c>
      <c r="G2361">
        <f t="shared" si="34"/>
        <v>62.900000000000006</v>
      </c>
      <c r="H2361">
        <f t="shared" si="34"/>
        <v>46.5</v>
      </c>
      <c r="I2361">
        <f t="shared" si="34"/>
        <v>139.79999999999998</v>
      </c>
    </row>
    <row r="2362" spans="3:10" x14ac:dyDescent="0.3">
      <c r="C2362" t="str">
        <f>C2313</f>
        <v>prepayments</v>
      </c>
      <c r="E2362">
        <f t="shared" si="34"/>
        <v>53.1</v>
      </c>
      <c r="F2362">
        <f t="shared" si="34"/>
        <v>54.9</v>
      </c>
      <c r="G2362">
        <f t="shared" si="34"/>
        <v>63.6</v>
      </c>
      <c r="H2362">
        <f t="shared" si="34"/>
        <v>68.3</v>
      </c>
      <c r="I2362">
        <f t="shared" si="34"/>
        <v>77.400000000000006</v>
      </c>
    </row>
    <row r="2363" spans="3:10" x14ac:dyDescent="0.3">
      <c r="E2363" s="2">
        <f>SUM(E2361:E2362)</f>
        <v>77.5</v>
      </c>
      <c r="F2363" s="2">
        <f>SUM(F2361:F2362)</f>
        <v>97.5</v>
      </c>
      <c r="G2363" s="2">
        <f>SUM(G2361:G2362)</f>
        <v>126.5</v>
      </c>
      <c r="H2363" s="2">
        <f>SUM(H2361:H2362)</f>
        <v>114.8</v>
      </c>
      <c r="I2363" s="2">
        <f>SUM(I2361:I2362)</f>
        <v>217.2</v>
      </c>
    </row>
    <row r="2365" spans="3:10" x14ac:dyDescent="0.3">
      <c r="C2365" s="2" t="s">
        <v>922</v>
      </c>
    </row>
    <row r="2366" spans="3:10" x14ac:dyDescent="0.3">
      <c r="C2366" t="str">
        <f>C2255</f>
        <v>Inventories</v>
      </c>
      <c r="E2366">
        <f>E2255</f>
        <v>633</v>
      </c>
      <c r="F2366">
        <f>F2255</f>
        <v>662.2</v>
      </c>
      <c r="G2366">
        <f>G2255</f>
        <v>769</v>
      </c>
      <c r="H2366">
        <f>H2255</f>
        <v>865.2</v>
      </c>
      <c r="I2366">
        <f>I2255</f>
        <v>949.5</v>
      </c>
    </row>
    <row r="2367" spans="3:10" x14ac:dyDescent="0.3">
      <c r="C2367" t="str">
        <f>C2257</f>
        <v>Right of return Asset</v>
      </c>
      <c r="E2367">
        <f>E2257</f>
        <v>24.8</v>
      </c>
      <c r="F2367">
        <f>F2257</f>
        <v>32.700000000000003</v>
      </c>
      <c r="G2367">
        <f>G2257</f>
        <v>30.7</v>
      </c>
      <c r="H2367">
        <f>H2257</f>
        <v>34.799999999999997</v>
      </c>
      <c r="I2367">
        <f>I2257</f>
        <v>29.7</v>
      </c>
    </row>
    <row r="2374" spans="3:14" x14ac:dyDescent="0.3">
      <c r="C2374" s="2" t="s">
        <v>941</v>
      </c>
    </row>
    <row r="2375" spans="3:14" x14ac:dyDescent="0.3">
      <c r="C2375" t="str">
        <f t="shared" ref="C2375:C2380" si="35">C2311</f>
        <v>Net Customer receivables (net ECL)</v>
      </c>
      <c r="J2375">
        <f>J2311</f>
        <v>1323</v>
      </c>
    </row>
    <row r="2376" spans="3:14" x14ac:dyDescent="0.3">
      <c r="C2376" t="str">
        <f t="shared" si="35"/>
        <v>other trade  receivables(net of allowance)</v>
      </c>
    </row>
    <row r="2377" spans="3:14" x14ac:dyDescent="0.3">
      <c r="C2377" t="str">
        <f t="shared" si="35"/>
        <v>prepayments</v>
      </c>
    </row>
    <row r="2378" spans="3:14" x14ac:dyDescent="0.3">
      <c r="C2378" t="str">
        <f t="shared" si="35"/>
        <v>other debtors</v>
      </c>
    </row>
    <row r="2379" spans="3:14" x14ac:dyDescent="0.3">
      <c r="C2379" t="str">
        <f t="shared" si="35"/>
        <v>Amount due from associates and joint ventures</v>
      </c>
    </row>
    <row r="2380" spans="3:14" x14ac:dyDescent="0.3">
      <c r="C2380" t="str">
        <f t="shared" si="35"/>
        <v>Total</v>
      </c>
    </row>
    <row r="2383" spans="3:14" x14ac:dyDescent="0.3">
      <c r="C2383" t="s">
        <v>943</v>
      </c>
      <c r="D2383" s="71">
        <f t="shared" ref="D2383:I2383" si="36">D2349/D749</f>
        <v>0.44776960721514775</v>
      </c>
      <c r="E2383" s="71">
        <f t="shared" si="36"/>
        <v>0.46094660760083933</v>
      </c>
      <c r="F2383" s="71">
        <f t="shared" si="36"/>
        <v>0.44309447601628671</v>
      </c>
      <c r="G2383" s="71">
        <f t="shared" si="36"/>
        <v>0.4271775094307812</v>
      </c>
      <c r="H2383" s="71">
        <f t="shared" si="36"/>
        <v>0.41215355208665183</v>
      </c>
      <c r="I2383" s="71">
        <f t="shared" si="36"/>
        <v>0.38048577087459606</v>
      </c>
      <c r="J2383" s="71">
        <f>I2383+J2384</f>
        <v>0.36702900360648572</v>
      </c>
      <c r="K2383" s="71">
        <f>J2383+K2384</f>
        <v>0.36026938248529816</v>
      </c>
      <c r="L2383" s="71">
        <f>K2383+L2384</f>
        <v>0.34015417330373732</v>
      </c>
      <c r="M2383" s="71">
        <f>L2383+M2384</f>
        <v>0.35939030962200968</v>
      </c>
      <c r="N2383" s="71">
        <f>M2383+N2384</f>
        <v>0.37159582535952645</v>
      </c>
    </row>
    <row r="2384" spans="3:14" x14ac:dyDescent="0.3">
      <c r="C2384" t="s">
        <v>944</v>
      </c>
      <c r="E2384" s="10">
        <f>E2383-D2383</f>
        <v>1.3177000385691584E-2</v>
      </c>
      <c r="F2384" s="10">
        <f>F2383-E2383</f>
        <v>-1.7852131584552622E-2</v>
      </c>
      <c r="G2384" s="10">
        <f>G2383-F2383</f>
        <v>-1.591696658550551E-2</v>
      </c>
      <c r="H2384" s="10">
        <f>H2383-G2383</f>
        <v>-1.5023957344129368E-2</v>
      </c>
      <c r="I2384" s="10">
        <f>I2383-H2383</f>
        <v>-3.1667781212055768E-2</v>
      </c>
      <c r="J2384" s="10">
        <f>AVERAGE(E2384:I2384)</f>
        <v>-1.3456767268110337E-2</v>
      </c>
      <c r="K2384">
        <v>-6.7596211211875552E-3</v>
      </c>
      <c r="L2384">
        <v>-2.0115209181560817E-2</v>
      </c>
      <c r="M2384">
        <v>1.9236136318272361E-2</v>
      </c>
      <c r="N2384">
        <v>1.2205515737516786E-2</v>
      </c>
    </row>
    <row r="2386" spans="2:14" x14ac:dyDescent="0.3">
      <c r="C2386" t="str">
        <f>C2273</f>
        <v>Average debtor days</v>
      </c>
      <c r="D2386">
        <f>AVERAGE(G2386:I2386)</f>
        <v>193</v>
      </c>
      <c r="E2386">
        <f>E2273</f>
        <v>0</v>
      </c>
      <c r="F2386">
        <f>F2273</f>
        <v>0</v>
      </c>
      <c r="G2386">
        <f>G2273</f>
        <v>198</v>
      </c>
      <c r="H2386">
        <f>H2273</f>
        <v>194</v>
      </c>
      <c r="I2386">
        <f>I2273</f>
        <v>187</v>
      </c>
      <c r="J2386">
        <v>185</v>
      </c>
      <c r="K2386">
        <v>183</v>
      </c>
      <c r="L2386">
        <v>180</v>
      </c>
      <c r="M2386">
        <v>186</v>
      </c>
    </row>
    <row r="2387" spans="2:14" x14ac:dyDescent="0.3">
      <c r="B2387" t="s">
        <v>956</v>
      </c>
      <c r="C2387" t="str">
        <f>C2306</f>
        <v>Average customer receivables</v>
      </c>
      <c r="E2387">
        <v>1062</v>
      </c>
      <c r="F2387">
        <v>1179</v>
      </c>
      <c r="G2387">
        <v>1223</v>
      </c>
      <c r="H2387">
        <f>H2306</f>
        <v>1259</v>
      </c>
      <c r="I2387">
        <f>I2306</f>
        <v>1284</v>
      </c>
      <c r="J2387">
        <f>AVERAGE(I2414:J2414)</f>
        <v>1331.5</v>
      </c>
    </row>
    <row r="2388" spans="2:14" x14ac:dyDescent="0.3">
      <c r="E2388">
        <f>AVERAGE(D2414:E2414)</f>
        <v>1198.5</v>
      </c>
      <c r="F2388">
        <f>AVERAGE(E2414:F2414)</f>
        <v>1209</v>
      </c>
      <c r="G2388">
        <f>AVERAGE(F2414:G2414)</f>
        <v>1262.5</v>
      </c>
      <c r="H2388">
        <f>AVERAGE(G2414:H2414)</f>
        <v>1292</v>
      </c>
      <c r="I2388">
        <f>AVERAGE(H2414:I2414)</f>
        <v>1327</v>
      </c>
    </row>
    <row r="2389" spans="2:14" x14ac:dyDescent="0.3">
      <c r="F2389">
        <f>F2388-F2387</f>
        <v>30</v>
      </c>
      <c r="G2389">
        <f>G2388-G2387</f>
        <v>39.5</v>
      </c>
      <c r="H2389">
        <f>H2388-H2387</f>
        <v>33</v>
      </c>
      <c r="I2389">
        <f>I2388-I2387</f>
        <v>43</v>
      </c>
      <c r="J2389">
        <f>AVERAGE(F2389:I2389)</f>
        <v>36.375</v>
      </c>
    </row>
    <row r="2391" spans="2:14" x14ac:dyDescent="0.3">
      <c r="C2391" t="s">
        <v>952</v>
      </c>
      <c r="G2391">
        <f>(G2387*ASSUMPTIONS!G7)/'rough sheet'!G2386</f>
        <v>2260.6969696969695</v>
      </c>
      <c r="H2391">
        <f>(H2387*ASSUMPTIONS!H7)/'rough sheet'!H2386</f>
        <v>2368.7371134020618</v>
      </c>
      <c r="I2391">
        <f>(I2387*ASSUMPTIONS!I7)/'rough sheet'!I2386</f>
        <v>2506.2032085561495</v>
      </c>
    </row>
    <row r="2392" spans="2:14" x14ac:dyDescent="0.3">
      <c r="C2392" t="s">
        <v>953</v>
      </c>
      <c r="G2392" s="88">
        <f>G2391/G749</f>
        <v>0.4764276769081725</v>
      </c>
      <c r="H2392" s="88">
        <f>H2391/H749</f>
        <v>0.47163450011987534</v>
      </c>
      <c r="I2392" s="88">
        <f>I2391/I749</f>
        <v>0.43542221907574091</v>
      </c>
      <c r="J2392" s="11">
        <f>I2392+J2393</f>
        <v>0.41491949015952512</v>
      </c>
      <c r="K2392" s="11">
        <f>J2392+K2393</f>
        <v>0.41012631337122796</v>
      </c>
      <c r="L2392" s="11">
        <f>K2392+L2393</f>
        <v>0.38889820895778798</v>
      </c>
      <c r="M2392" s="11">
        <f>L2392+M2393</f>
        <v>0.38889820895778798</v>
      </c>
      <c r="N2392" s="11">
        <f>M2392+N2393</f>
        <v>0.41889820895778795</v>
      </c>
    </row>
    <row r="2393" spans="2:14" x14ac:dyDescent="0.3">
      <c r="H2393" s="11">
        <f>H2392-G2392</f>
        <v>-4.7931767882971599E-3</v>
      </c>
      <c r="I2393" s="11">
        <f>I2392-H2392</f>
        <v>-3.6212281044134431E-2</v>
      </c>
      <c r="J2393" s="11">
        <f>AVERAGE(H2393:I2393)</f>
        <v>-2.0502728916215796E-2</v>
      </c>
      <c r="K2393" s="11">
        <v>-4.7931767882971599E-3</v>
      </c>
      <c r="L2393">
        <v>-2.1228104413439999E-2</v>
      </c>
      <c r="M2393" s="11">
        <v>0</v>
      </c>
      <c r="N2393" s="11">
        <v>0.03</v>
      </c>
    </row>
    <row r="2395" spans="2:14" x14ac:dyDescent="0.3">
      <c r="C2395" t="str">
        <f>C2349</f>
        <v>Credit sales(online &amp; retail credit sales &amp; interest income)</v>
      </c>
      <c r="E2395">
        <f>E2349</f>
        <v>1977</v>
      </c>
      <c r="F2395">
        <f>F2349</f>
        <v>2035</v>
      </c>
      <c r="G2395">
        <f>G2349</f>
        <v>2027</v>
      </c>
      <c r="H2395">
        <f>H2349</f>
        <v>2070</v>
      </c>
      <c r="I2395">
        <f>I2349</f>
        <v>2190</v>
      </c>
    </row>
    <row r="2398" spans="2:14" x14ac:dyDescent="0.3">
      <c r="C2398" s="2" t="s">
        <v>788</v>
      </c>
      <c r="F2398">
        <f>F2399*F2387*F2404</f>
        <v>34.436138613861381</v>
      </c>
    </row>
    <row r="2399" spans="2:14" x14ac:dyDescent="0.3">
      <c r="C2399" t="s">
        <v>945</v>
      </c>
      <c r="F2399" s="60">
        <f>F2400/F2401</f>
        <v>3.43622597553873E-2</v>
      </c>
    </row>
    <row r="2400" spans="2:14" x14ac:dyDescent="0.3">
      <c r="C2400" t="s">
        <v>946</v>
      </c>
      <c r="F2400">
        <v>29.5</v>
      </c>
    </row>
    <row r="2401" spans="3:10" x14ac:dyDescent="0.3">
      <c r="C2401" t="s">
        <v>947</v>
      </c>
      <c r="F2401">
        <v>858.5</v>
      </c>
    </row>
    <row r="2403" spans="3:10" x14ac:dyDescent="0.3">
      <c r="C2403" t="s">
        <v>948</v>
      </c>
    </row>
    <row r="2404" spans="3:10" x14ac:dyDescent="0.3">
      <c r="C2404" t="s">
        <v>949</v>
      </c>
      <c r="F2404" s="11">
        <v>0.85</v>
      </c>
    </row>
    <row r="2406" spans="3:10" x14ac:dyDescent="0.3">
      <c r="C2406" t="s">
        <v>950</v>
      </c>
    </row>
    <row r="2407" spans="3:10" x14ac:dyDescent="0.3">
      <c r="C2407" t="s">
        <v>951</v>
      </c>
    </row>
    <row r="2411" spans="3:10" x14ac:dyDescent="0.3">
      <c r="C2411" t="s">
        <v>679</v>
      </c>
    </row>
    <row r="2412" spans="3:10" x14ac:dyDescent="0.3">
      <c r="C2412" t="str">
        <f>C2311</f>
        <v>Net Customer receivables (net ECL)</v>
      </c>
      <c r="E2412">
        <f>E2311</f>
        <v>1162.7</v>
      </c>
      <c r="F2412">
        <f>F2311</f>
        <v>1254.7</v>
      </c>
      <c r="G2412">
        <f>G2311</f>
        <v>1270.3999999999999</v>
      </c>
      <c r="H2412">
        <f>H2311</f>
        <v>1322.7</v>
      </c>
      <c r="I2412">
        <f>I2311</f>
        <v>1368.1</v>
      </c>
      <c r="J2412">
        <v>1323</v>
      </c>
    </row>
    <row r="2414" spans="3:10" x14ac:dyDescent="0.3">
      <c r="C2414" t="str">
        <f>C2307</f>
        <v>closing customer receivables</v>
      </c>
      <c r="D2414">
        <v>1234</v>
      </c>
      <c r="E2414">
        <v>1163</v>
      </c>
      <c r="F2414">
        <v>1255</v>
      </c>
      <c r="G2414">
        <v>1270</v>
      </c>
      <c r="H2414">
        <f>H2307</f>
        <v>1314</v>
      </c>
      <c r="I2414">
        <f>I2307</f>
        <v>1340</v>
      </c>
      <c r="J2414">
        <v>1323</v>
      </c>
    </row>
    <row r="2415" spans="3:10" x14ac:dyDescent="0.3">
      <c r="C2415" t="s">
        <v>297</v>
      </c>
      <c r="E2415">
        <f>E2412-E2414</f>
        <v>-0.29999999999995453</v>
      </c>
      <c r="F2415">
        <f>F2412-F2414</f>
        <v>-0.29999999999995453</v>
      </c>
      <c r="G2415">
        <f>G2412-G2414</f>
        <v>0.39999999999986358</v>
      </c>
      <c r="H2415">
        <f>H2412-H2414</f>
        <v>8.7000000000000455</v>
      </c>
      <c r="I2415">
        <f>I2412-I2414</f>
        <v>28.099999999999909</v>
      </c>
    </row>
    <row r="2417" spans="2:14" x14ac:dyDescent="0.3">
      <c r="I2417">
        <f>AVERAGE(H2414:I2414)</f>
        <v>1327</v>
      </c>
    </row>
    <row r="2418" spans="2:14" x14ac:dyDescent="0.3">
      <c r="I2418">
        <f>I2417-I2387</f>
        <v>43</v>
      </c>
    </row>
    <row r="2421" spans="2:14" x14ac:dyDescent="0.3">
      <c r="C2421" s="2" t="s">
        <v>955</v>
      </c>
    </row>
    <row r="2422" spans="2:14" x14ac:dyDescent="0.3">
      <c r="C2422" s="2" t="s">
        <v>679</v>
      </c>
    </row>
    <row r="2423" spans="2:14" x14ac:dyDescent="0.3">
      <c r="B2423" t="s">
        <v>957</v>
      </c>
      <c r="C2423" t="s">
        <v>954</v>
      </c>
      <c r="F2423">
        <f>AVERAGE(E2412:F2412)</f>
        <v>1208.7</v>
      </c>
      <c r="G2423">
        <f>AVERAGE(F2412:G2412)</f>
        <v>1262.55</v>
      </c>
      <c r="H2423">
        <f>AVERAGE(G2412:H2412)</f>
        <v>1296.55</v>
      </c>
      <c r="I2423">
        <f>AVERAGE(H2412:I2412)</f>
        <v>1345.4</v>
      </c>
      <c r="J2423">
        <f>AVERAGE(I2412:J2412)</f>
        <v>1345.55</v>
      </c>
    </row>
    <row r="2424" spans="2:14" x14ac:dyDescent="0.3">
      <c r="C2424" t="str">
        <f>C2386</f>
        <v>Average debtor days</v>
      </c>
      <c r="G2424">
        <f>G2386</f>
        <v>198</v>
      </c>
      <c r="H2424">
        <f>H2386</f>
        <v>194</v>
      </c>
      <c r="I2424">
        <f>I2386</f>
        <v>187</v>
      </c>
      <c r="J2424">
        <f>J2423/J2426*ASSUMPTIONS!J7</f>
        <v>168.81761780018374</v>
      </c>
      <c r="K2424">
        <f>AVERAGE(H2424:J2424)</f>
        <v>183.2725392667279</v>
      </c>
      <c r="L2424">
        <f>AVERAGE(I2424:K2424)</f>
        <v>179.69671902230388</v>
      </c>
      <c r="M2424">
        <f>AVERAGE(J2424:L2424)</f>
        <v>177.26229202973852</v>
      </c>
      <c r="N2424">
        <f>AVERAGE(K2424:M2424)</f>
        <v>180.07718343959013</v>
      </c>
    </row>
    <row r="2426" spans="2:14" x14ac:dyDescent="0.3">
      <c r="C2426" t="s">
        <v>417</v>
      </c>
      <c r="G2426">
        <f>(G2423*ASSUMPTIONS!G7)/'rough sheet'!G2424</f>
        <v>2333.8045454545454</v>
      </c>
      <c r="H2426">
        <f>(H2423*ASSUMPTIONS!H7)/'rough sheet'!H2424</f>
        <v>2439.3853092783506</v>
      </c>
      <c r="I2426">
        <f>(I2423*ASSUMPTIONS!I7)/'rough sheet'!I2424</f>
        <v>2626.0481283422464</v>
      </c>
      <c r="J2426">
        <f>'MODEL&amp;SCHEDULE'!J13*'rough sheet'!J2427</f>
        <v>2909.2091003280671</v>
      </c>
      <c r="K2426">
        <f>'MODEL&amp;SCHEDULE'!K13*'rough sheet'!K2427</f>
        <v>3052.3553828000004</v>
      </c>
      <c r="L2426">
        <f>'MODEL&amp;SCHEDULE'!L13*'rough sheet'!L2427</f>
        <v>3362.5754559900001</v>
      </c>
      <c r="M2426">
        <f>'MODEL&amp;SCHEDULE'!M13*'rough sheet'!M2427</f>
        <v>3785.8246179583202</v>
      </c>
      <c r="N2426">
        <f>'MODEL&amp;SCHEDULE'!N13*'rough sheet'!N2427</f>
        <v>4030.6431207201799</v>
      </c>
    </row>
    <row r="2427" spans="2:14" x14ac:dyDescent="0.3">
      <c r="C2427" s="2" t="s">
        <v>958</v>
      </c>
      <c r="G2427" s="88">
        <f>G2426/G749</f>
        <v>0.49183463898643764</v>
      </c>
      <c r="H2427" s="88">
        <f>H2426/H749</f>
        <v>0.48570112083433237</v>
      </c>
      <c r="I2427" s="88">
        <f>I2426/I749</f>
        <v>0.45624381117173046</v>
      </c>
      <c r="J2427" s="11">
        <f>AVERAGE(G2427:I2427)</f>
        <v>0.47792652366416682</v>
      </c>
      <c r="K2427" s="11">
        <v>0.46</v>
      </c>
      <c r="L2427" s="11">
        <v>0.45</v>
      </c>
      <c r="M2427" s="11">
        <v>0.47</v>
      </c>
      <c r="N2427" s="11">
        <f>AVERAGE(K2427:M2427)</f>
        <v>0.45999999999999996</v>
      </c>
    </row>
    <row r="2429" spans="2:14" x14ac:dyDescent="0.3">
      <c r="C2429" s="2" t="s">
        <v>483</v>
      </c>
    </row>
    <row r="2430" spans="2:14" x14ac:dyDescent="0.3">
      <c r="C2430" t="str">
        <f>C2312</f>
        <v>other trade  receivables(net of allowance)</v>
      </c>
      <c r="D2430" t="s">
        <v>1025</v>
      </c>
      <c r="E2430">
        <f>E2312</f>
        <v>24.4</v>
      </c>
      <c r="F2430">
        <f>F2312</f>
        <v>42.6</v>
      </c>
      <c r="G2430">
        <f>G2312</f>
        <v>62.900000000000006</v>
      </c>
      <c r="H2430">
        <f>H2312</f>
        <v>46.5</v>
      </c>
      <c r="I2430">
        <f>I2312</f>
        <v>139.79999999999998</v>
      </c>
    </row>
    <row r="2431" spans="2:14" x14ac:dyDescent="0.3">
      <c r="E2431" s="61">
        <f>E2430/'HISTORICAL FS'!E12</f>
        <v>5.2746492574417955E-3</v>
      </c>
      <c r="F2431" s="61">
        <f>F2430/'HISTORICAL FS'!F12</f>
        <v>8.4624553039332542E-3</v>
      </c>
      <c r="G2431" s="61">
        <f>G2430/'HISTORICAL FS'!G12</f>
        <v>1.1455108359133128E-2</v>
      </c>
      <c r="H2431" s="61">
        <f>H2430/'HISTORICAL FS'!H12</f>
        <v>7.6003988166260762E-3</v>
      </c>
      <c r="I2431" s="61">
        <f>I2430/'HISTORICAL FS'!I12</f>
        <v>2.025705301899642E-2</v>
      </c>
      <c r="J2431" s="90">
        <f>AVERAGE(E2431:I2431)</f>
        <v>1.0609932951226135E-2</v>
      </c>
    </row>
    <row r="2432" spans="2:14" x14ac:dyDescent="0.3">
      <c r="C2432" t="str">
        <f>C2313</f>
        <v>prepayments</v>
      </c>
      <c r="D2432" t="s">
        <v>1025</v>
      </c>
      <c r="E2432">
        <f>E2313</f>
        <v>53.1</v>
      </c>
      <c r="F2432">
        <f>F2313</f>
        <v>54.9</v>
      </c>
      <c r="G2432">
        <f>G2313</f>
        <v>63.6</v>
      </c>
      <c r="H2432">
        <f>H2313</f>
        <v>68.3</v>
      </c>
      <c r="I2432">
        <f>I2313</f>
        <v>77.400000000000006</v>
      </c>
    </row>
    <row r="2433" spans="3:14" x14ac:dyDescent="0.3">
      <c r="E2433" s="61">
        <f>E2432/'HISTORICAL FS'!E12</f>
        <v>1.147884735943276E-2</v>
      </c>
      <c r="F2433" s="61">
        <f>F2432/'HISTORICAL FS'!F12</f>
        <v>1.0905840286054827E-2</v>
      </c>
      <c r="G2433" s="61">
        <f>G2432/'HISTORICAL FS'!G12</f>
        <v>1.1582589692223639E-2</v>
      </c>
      <c r="H2433" s="61">
        <f>H2432/'HISTORICAL FS'!H12</f>
        <v>1.1163596541409913E-2</v>
      </c>
      <c r="I2433" s="61">
        <f>I2432/'HISTORICAL FS'!I12</f>
        <v>1.1215278280903598E-2</v>
      </c>
      <c r="J2433" s="90">
        <f>AVERAGE(E2433:I2433)</f>
        <v>1.1269230432004947E-2</v>
      </c>
    </row>
    <row r="2434" spans="3:14" x14ac:dyDescent="0.3">
      <c r="C2434" t="str">
        <f>C2314</f>
        <v>other debtors</v>
      </c>
      <c r="D2434" t="s">
        <v>1025</v>
      </c>
      <c r="E2434">
        <f>E2314</f>
        <v>14.1</v>
      </c>
      <c r="F2434">
        <f>F2314</f>
        <v>40.700000000000003</v>
      </c>
      <c r="G2434">
        <f>G2314</f>
        <v>43.8</v>
      </c>
      <c r="H2434">
        <f>H2314</f>
        <v>58.7</v>
      </c>
      <c r="I2434">
        <f>I2314</f>
        <v>55.4</v>
      </c>
    </row>
    <row r="2435" spans="3:14" x14ac:dyDescent="0.3">
      <c r="E2435" s="61">
        <f>E2434/'HISTORICAL FS'!E12</f>
        <v>3.0480555135216931E-3</v>
      </c>
      <c r="F2435" s="61">
        <f>F2434/'HISTORICAL FS'!F12</f>
        <v>8.0850218514104105E-3</v>
      </c>
      <c r="G2435" s="61">
        <f>G2434/'HISTORICAL FS'!G12</f>
        <v>7.9766891276634496E-3</v>
      </c>
      <c r="H2435" s="61">
        <f>H2434/'HISTORICAL FS'!H12</f>
        <v>9.5944819470096931E-3</v>
      </c>
      <c r="I2435" s="61">
        <f>I2434/'HISTORICAL FS'!I12</f>
        <v>8.0274730847811285E-3</v>
      </c>
      <c r="J2435" s="90">
        <f>AVERAGE(E2435:I2435)</f>
        <v>7.3463443048772756E-3</v>
      </c>
    </row>
    <row r="2436" spans="3:14" x14ac:dyDescent="0.3">
      <c r="C2436" t="str">
        <f>C2315</f>
        <v>Amount due from associates and joint ventures</v>
      </c>
      <c r="D2436" t="s">
        <v>1025</v>
      </c>
      <c r="E2436">
        <f>E2315</f>
        <v>26.6</v>
      </c>
      <c r="F2436">
        <f>F2315</f>
        <v>32.6</v>
      </c>
      <c r="G2436">
        <f>G2315</f>
        <v>12.1</v>
      </c>
      <c r="H2436">
        <f>H2315</f>
        <v>12.2</v>
      </c>
      <c r="I2436">
        <f>I2315</f>
        <v>19.899999999999999</v>
      </c>
    </row>
    <row r="2437" spans="3:14" x14ac:dyDescent="0.3">
      <c r="E2437" s="61">
        <f>E2436/'HISTORICAL FS'!E12</f>
        <v>5.7502323872111382E-3</v>
      </c>
      <c r="F2437" s="61">
        <f>F2436/'HISTORICAL FS'!F12</f>
        <v>6.4759634485498608E-3</v>
      </c>
      <c r="G2437" s="61">
        <f>G2436/'HISTORICAL FS'!G12</f>
        <v>2.20360590056456E-3</v>
      </c>
      <c r="H2437" s="61">
        <f>H2436/'HISTORICAL FS'!H12</f>
        <v>1.9940831303836156E-3</v>
      </c>
      <c r="I2437" s="61">
        <f>I2436/'HISTORICAL FS'!I12</f>
        <v>2.8835147001289611E-3</v>
      </c>
      <c r="J2437" s="90">
        <f>AVERAGE(E2437:I2437)</f>
        <v>3.8614799133676269E-3</v>
      </c>
    </row>
    <row r="2438" spans="3:14" x14ac:dyDescent="0.3">
      <c r="C2438" s="2" t="str">
        <f>C2316</f>
        <v>Total</v>
      </c>
      <c r="E2438" s="2">
        <f>E2430+E2432+E2434+E2436</f>
        <v>118.19999999999999</v>
      </c>
      <c r="F2438" s="2">
        <f>F2430+F2432+F2434+F2436</f>
        <v>170.79999999999998</v>
      </c>
      <c r="G2438" s="2">
        <f>G2430+G2432+G2434+G2436</f>
        <v>182.4</v>
      </c>
      <c r="H2438" s="2">
        <f>H2430+H2432+H2434+H2436</f>
        <v>185.7</v>
      </c>
      <c r="I2438" s="2">
        <f>I2430+I2432+I2434+I2436</f>
        <v>292.49999999999994</v>
      </c>
      <c r="J2438">
        <f>(J2441*'MODEL&amp;SCHEDULE'!J17)/ASSUMPTIONS!J7</f>
        <v>240.86355778528107</v>
      </c>
      <c r="K2438">
        <f>(K2441*'MODEL&amp;SCHEDULE'!K17)/ASSUMPTIONS!K7</f>
        <v>277.51607140415348</v>
      </c>
      <c r="L2438">
        <f>(L2441*'MODEL&amp;SCHEDULE'!L17)/ASSUMPTIONS!L7</f>
        <v>339.45035852879016</v>
      </c>
      <c r="M2438">
        <f>(M2441*'MODEL&amp;SCHEDULE'!M17)/ASSUMPTIONS!M7</f>
        <v>349.96132581280335</v>
      </c>
      <c r="N2438">
        <f>(N2441*'MODEL&amp;SCHEDULE'!N17)/ASSUMPTIONS!N7</f>
        <v>386.14732478187523</v>
      </c>
    </row>
    <row r="2439" spans="3:14" x14ac:dyDescent="0.3">
      <c r="J2439">
        <f>$J$2440*'MODEL&amp;SCHEDULE'!J17</f>
        <v>240.73112804000925</v>
      </c>
      <c r="K2439">
        <f>$J$2440*'MODEL&amp;SCHEDULE'!K17</f>
        <v>263.115058806869</v>
      </c>
      <c r="L2439">
        <f>$J$2440*'MODEL&amp;SCHEDULE'!L17</f>
        <v>291.98413664137536</v>
      </c>
      <c r="M2439">
        <f>$J$2440*'MODEL&amp;SCHEDULE'!M17</f>
        <v>318.38938704088446</v>
      </c>
      <c r="N2439">
        <f>$J$2440*'MODEL&amp;SCHEDULE'!N17</f>
        <v>344.72116653691006</v>
      </c>
    </row>
    <row r="2440" spans="3:14" x14ac:dyDescent="0.3">
      <c r="C2440" t="s">
        <v>971</v>
      </c>
      <c r="E2440" s="60">
        <f>E2438/'HISTORICAL FS'!E12</f>
        <v>2.5551784517607385E-2</v>
      </c>
      <c r="F2440" s="60">
        <f>F2438/'HISTORICAL FS'!F12</f>
        <v>3.392928088994835E-2</v>
      </c>
      <c r="G2440" s="60">
        <f>G2438/'HISTORICAL FS'!G12</f>
        <v>3.3217993079584777E-2</v>
      </c>
      <c r="H2440" s="60">
        <f>H2438/'HISTORICAL FS'!H12</f>
        <v>3.0352560435429297E-2</v>
      </c>
      <c r="I2440" s="60">
        <f>I2438/'HISTORICAL FS'!I12</f>
        <v>4.2383319084810099E-2</v>
      </c>
      <c r="J2440" s="90">
        <f>AVERAGE(E2440:I2440)</f>
        <v>3.3086987601475985E-2</v>
      </c>
    </row>
    <row r="2441" spans="3:14" x14ac:dyDescent="0.3">
      <c r="C2441" t="s">
        <v>973</v>
      </c>
      <c r="E2441" s="95">
        <f>(E2440)*ASSUMPTIONS!E7</f>
        <v>9.3264013489266961</v>
      </c>
      <c r="F2441" s="95">
        <f>(F2440)*ASSUMPTIONS!F7</f>
        <v>12.384187524831148</v>
      </c>
      <c r="G2441" s="95">
        <f>(G2440)*ASSUMPTIONS!G7</f>
        <v>12.157785467128029</v>
      </c>
      <c r="H2441" s="95">
        <f>(H2440)*ASSUMPTIONS!H7</f>
        <v>11.078684558931693</v>
      </c>
      <c r="I2441" s="95">
        <f>(I2440)*ASSUMPTIONS!I7</f>
        <v>15.469911465955686</v>
      </c>
      <c r="J2441" s="95">
        <f>AVERAGE(E2441:I2441)</f>
        <v>12.083394073154651</v>
      </c>
      <c r="K2441" s="95">
        <f>AVERAGE(F2441:I2441)</f>
        <v>12.77264225421164</v>
      </c>
      <c r="L2441" s="95">
        <v>14.04</v>
      </c>
      <c r="M2441" s="95">
        <f>AVERAGE(H2441:I2441)</f>
        <v>13.27429801244369</v>
      </c>
      <c r="N2441" s="95">
        <f>AVERAGE(I2441:M2441)</f>
        <v>13.528049161153131</v>
      </c>
    </row>
    <row r="2442" spans="3:14" x14ac:dyDescent="0.3">
      <c r="E2442" s="60"/>
      <c r="F2442" s="60"/>
      <c r="G2442" s="60"/>
      <c r="H2442" s="60"/>
      <c r="I2442" s="60"/>
      <c r="J2442" s="90"/>
    </row>
    <row r="2445" spans="3:14" x14ac:dyDescent="0.3">
      <c r="C2445" s="2" t="s">
        <v>922</v>
      </c>
    </row>
    <row r="2446" spans="3:14" x14ac:dyDescent="0.3">
      <c r="C2446" t="str">
        <f>C2255</f>
        <v>Inventories</v>
      </c>
      <c r="E2446">
        <f>E2255</f>
        <v>633</v>
      </c>
      <c r="F2446">
        <f>F2255</f>
        <v>662.2</v>
      </c>
      <c r="G2446">
        <f>G2255</f>
        <v>769</v>
      </c>
      <c r="H2446">
        <f>H2255</f>
        <v>865.2</v>
      </c>
      <c r="I2446">
        <f>I2255</f>
        <v>949.5</v>
      </c>
    </row>
    <row r="2447" spans="3:14" x14ac:dyDescent="0.3">
      <c r="C2447" t="s">
        <v>1026</v>
      </c>
      <c r="D2447" t="s">
        <v>1027</v>
      </c>
      <c r="E2447">
        <f>(E2446/'HISTORICAL FS'!E13)*ASSUMPTIONS!E7</f>
        <v>88.007084904582328</v>
      </c>
      <c r="F2447">
        <f>(F2446/'HISTORICAL FS'!F13)*ASSUMPTIONS!F7</f>
        <v>85.476889344697113</v>
      </c>
      <c r="G2447">
        <f>(G2446/'HISTORICAL FS'!G13)*ASSUMPTIONS!G7</f>
        <v>92.751359367276322</v>
      </c>
      <c r="H2447">
        <f>(H2446/'HISTORICAL FS'!H13)*ASSUMPTIONS!H7</f>
        <v>91.363518009547221</v>
      </c>
      <c r="I2447">
        <f>(I2446/'HISTORICAL FS'!I13)*ASSUMPTIONS!I7</f>
        <v>90.076023391812868</v>
      </c>
      <c r="J2447">
        <f>AVERAGE(E2447:I2447)</f>
        <v>89.53497500358317</v>
      </c>
      <c r="K2447">
        <f>J2447+K2448</f>
        <v>87.004779443697956</v>
      </c>
      <c r="L2447">
        <f>K2447+L2448</f>
        <v>94.279249466277165</v>
      </c>
      <c r="M2447">
        <f>L2447+M2448</f>
        <v>92.891408108548063</v>
      </c>
      <c r="N2447">
        <f>M2447+N2448</f>
        <v>91.60391349081371</v>
      </c>
    </row>
    <row r="2448" spans="3:14" x14ac:dyDescent="0.3">
      <c r="F2448">
        <f>F2447-E2447</f>
        <v>-2.5301955598852146</v>
      </c>
      <c r="G2448">
        <f>G2447-F2447</f>
        <v>7.2744700225792087</v>
      </c>
      <c r="H2448">
        <f>H2447-G2447</f>
        <v>-1.3878413577291013</v>
      </c>
      <c r="I2448">
        <f>I2447-H2447</f>
        <v>-1.2874946177343531</v>
      </c>
      <c r="K2448">
        <v>-2.5301955598852146</v>
      </c>
      <c r="L2448">
        <v>7.2744700225792087</v>
      </c>
      <c r="M2448">
        <v>-1.3878413577291013</v>
      </c>
      <c r="N2448">
        <v>-1.2874946177343531</v>
      </c>
    </row>
    <row r="2449" spans="2:10" x14ac:dyDescent="0.3">
      <c r="C2449" s="2" t="s">
        <v>975</v>
      </c>
    </row>
    <row r="2450" spans="2:10" x14ac:dyDescent="0.3">
      <c r="C2450" t="str">
        <f>C2257</f>
        <v>Right of return Asset</v>
      </c>
      <c r="E2450">
        <f>E2257</f>
        <v>24.8</v>
      </c>
      <c r="F2450">
        <f>F2257</f>
        <v>32.700000000000003</v>
      </c>
      <c r="G2450">
        <f>G2257</f>
        <v>30.7</v>
      </c>
      <c r="H2450">
        <f>H2257</f>
        <v>34.799999999999997</v>
      </c>
      <c r="I2450">
        <f>I2257</f>
        <v>29.7</v>
      </c>
    </row>
    <row r="2452" spans="2:10" x14ac:dyDescent="0.3">
      <c r="C2452" t="s">
        <v>976</v>
      </c>
      <c r="D2452" t="s">
        <v>996</v>
      </c>
      <c r="E2452" s="88">
        <f>E2450/E2446</f>
        <v>3.9178515007898894E-2</v>
      </c>
      <c r="F2452" s="88">
        <f>F2450/F2446</f>
        <v>4.9380851706433103E-2</v>
      </c>
      <c r="G2452" s="88">
        <f>G2450/G2446</f>
        <v>3.9921976592977894E-2</v>
      </c>
      <c r="H2452" s="88">
        <f>H2450/H2446</f>
        <v>4.0221914008321771E-2</v>
      </c>
      <c r="I2452" s="88">
        <f>I2450/I2446</f>
        <v>3.1279620853080566E-2</v>
      </c>
      <c r="J2452" s="11">
        <f>AVERAGE(E2452:I2452)</f>
        <v>3.9996575633742447E-2</v>
      </c>
    </row>
    <row r="2454" spans="2:10" x14ac:dyDescent="0.3">
      <c r="B2454" t="s">
        <v>986</v>
      </c>
    </row>
    <row r="2455" spans="2:10" x14ac:dyDescent="0.3">
      <c r="C2455" s="2" t="s">
        <v>984</v>
      </c>
      <c r="E2455" s="2">
        <f>E2258</f>
        <v>798.4</v>
      </c>
      <c r="F2455" s="2">
        <f>F2258</f>
        <v>791.1</v>
      </c>
      <c r="G2455" s="2">
        <f>G2258</f>
        <v>991.8</v>
      </c>
      <c r="H2455" s="2">
        <f>H2258</f>
        <v>1076.7</v>
      </c>
      <c r="I2455" s="2">
        <f>I2258</f>
        <v>1132.4000000000001</v>
      </c>
    </row>
    <row r="2456" spans="2:10" x14ac:dyDescent="0.3">
      <c r="C2456" t="s">
        <v>985</v>
      </c>
      <c r="E2456">
        <v>275.39999999999998</v>
      </c>
      <c r="F2456">
        <v>230.1</v>
      </c>
      <c r="G2456">
        <v>297.10000000000002</v>
      </c>
      <c r="H2456">
        <v>355.8</v>
      </c>
      <c r="I2456">
        <v>340.9</v>
      </c>
    </row>
    <row r="2457" spans="2:10" x14ac:dyDescent="0.3">
      <c r="C2457" t="s">
        <v>987</v>
      </c>
      <c r="E2457">
        <v>0.5</v>
      </c>
      <c r="F2457">
        <v>2.1</v>
      </c>
      <c r="G2457">
        <v>1.1000000000000001</v>
      </c>
      <c r="H2457">
        <v>1.4</v>
      </c>
      <c r="I2457">
        <v>3.1</v>
      </c>
    </row>
    <row r="2458" spans="2:10" x14ac:dyDescent="0.3">
      <c r="C2458" t="s">
        <v>988</v>
      </c>
      <c r="E2458">
        <v>4.8</v>
      </c>
      <c r="F2458">
        <v>8.3000000000000007</v>
      </c>
      <c r="G2458">
        <v>11.1</v>
      </c>
      <c r="H2458">
        <v>47.7</v>
      </c>
      <c r="I2458">
        <v>63</v>
      </c>
    </row>
    <row r="2459" spans="2:10" x14ac:dyDescent="0.3">
      <c r="C2459" t="s">
        <v>989</v>
      </c>
      <c r="E2459">
        <v>76.8</v>
      </c>
      <c r="F2459">
        <v>95.7</v>
      </c>
      <c r="G2459">
        <v>133.4</v>
      </c>
      <c r="H2459">
        <v>123</v>
      </c>
      <c r="I2459">
        <v>118.2</v>
      </c>
    </row>
    <row r="2460" spans="2:10" x14ac:dyDescent="0.3">
      <c r="C2460" t="s">
        <v>990</v>
      </c>
      <c r="E2460">
        <v>79.5</v>
      </c>
      <c r="F2460">
        <v>84.2</v>
      </c>
      <c r="G2460">
        <v>99</v>
      </c>
      <c r="H2460">
        <v>107.5</v>
      </c>
      <c r="I2460">
        <v>114.6</v>
      </c>
    </row>
    <row r="2461" spans="2:10" x14ac:dyDescent="0.3">
      <c r="C2461" t="s">
        <v>991</v>
      </c>
      <c r="E2461">
        <v>0.2</v>
      </c>
      <c r="F2461">
        <v>0.2</v>
      </c>
      <c r="H2461">
        <v>0.2</v>
      </c>
      <c r="I2461">
        <v>0.2</v>
      </c>
    </row>
    <row r="2462" spans="2:10" x14ac:dyDescent="0.3">
      <c r="C2462" t="s">
        <v>992</v>
      </c>
      <c r="H2462">
        <v>359.9</v>
      </c>
      <c r="I2462">
        <v>417.6</v>
      </c>
    </row>
    <row r="2463" spans="2:10" x14ac:dyDescent="0.3">
      <c r="C2463" t="s">
        <v>993</v>
      </c>
      <c r="H2463">
        <v>81.2</v>
      </c>
      <c r="I2463">
        <v>74.8</v>
      </c>
    </row>
    <row r="2464" spans="2:10" x14ac:dyDescent="0.3">
      <c r="C2464" t="s">
        <v>994</v>
      </c>
      <c r="E2464">
        <v>361.2</v>
      </c>
      <c r="F2464">
        <v>370.5</v>
      </c>
      <c r="G2464">
        <v>450.1</v>
      </c>
      <c r="H2464">
        <f>SUM(H2462:H2463)</f>
        <v>441.09999999999997</v>
      </c>
      <c r="I2464">
        <f>SUM(I2462:I2463)</f>
        <v>492.40000000000003</v>
      </c>
    </row>
    <row r="2465" spans="3:14" x14ac:dyDescent="0.3">
      <c r="E2465" s="47">
        <f>E2456+E2457+E2458+E2459+E2460+E2461+E2464</f>
        <v>798.4</v>
      </c>
      <c r="F2465" s="47">
        <f>F2456+F2457+F2458+F2459+F2460+F2461+F2464</f>
        <v>791.09999999999991</v>
      </c>
      <c r="G2465" s="47">
        <f>G2456+G2457+G2458+G2459+G2460+G2461+G2464</f>
        <v>991.80000000000007</v>
      </c>
      <c r="H2465" s="47">
        <f>H2456+H2457+H2458+H2459+H2460+H2461+H2464</f>
        <v>1076.7</v>
      </c>
      <c r="I2465" s="47">
        <f>I2456+I2457+I2458+I2459+I2460+I2461+I2464</f>
        <v>1132.4000000000001</v>
      </c>
    </row>
    <row r="2466" spans="3:14" x14ac:dyDescent="0.3">
      <c r="C2466" t="s">
        <v>992</v>
      </c>
      <c r="E2466" s="2"/>
      <c r="F2466" s="2"/>
      <c r="G2466" s="2"/>
      <c r="H2466" s="2"/>
      <c r="I2466" s="2"/>
    </row>
    <row r="2467" spans="3:14" x14ac:dyDescent="0.3">
      <c r="C2467" t="s">
        <v>993</v>
      </c>
      <c r="E2467" s="2"/>
      <c r="F2467" s="2">
        <v>28.5</v>
      </c>
      <c r="G2467" s="2">
        <v>30.5</v>
      </c>
      <c r="H2467">
        <v>31.9</v>
      </c>
      <c r="I2467">
        <v>38</v>
      </c>
    </row>
    <row r="2468" spans="3:14" x14ac:dyDescent="0.3">
      <c r="C2468" t="s">
        <v>994</v>
      </c>
    </row>
    <row r="2470" spans="3:14" x14ac:dyDescent="0.3">
      <c r="C2470" s="2" t="str">
        <f>C2456</f>
        <v xml:space="preserve">Trade payables </v>
      </c>
      <c r="D2470" t="s">
        <v>995</v>
      </c>
      <c r="E2470" s="99">
        <f>(E2456/'HISTORICAL FS'!E13)*ASSUMPTIONS!E7</f>
        <v>38.289338361330131</v>
      </c>
      <c r="F2470" s="99">
        <f>(F2456/'HISTORICAL FS'!F13)*ASSUMPTIONS!F7</f>
        <v>29.701347384800371</v>
      </c>
      <c r="G2470" s="99">
        <f>(G2456/'HISTORICAL FS'!G13)*ASSUMPTIONS!G7</f>
        <v>35.834107760751365</v>
      </c>
      <c r="H2470" s="99">
        <f>(H2456/'HISTORICAL FS'!H13)*ASSUMPTIONS!H7</f>
        <v>37.571821206422683</v>
      </c>
      <c r="I2470" s="99">
        <f>(I2456/'HISTORICAL FS'!I13)*ASSUMPTIONS!I7</f>
        <v>32.340090968161142</v>
      </c>
      <c r="J2470" s="99">
        <f>AVERAGE(E2470:I2470)</f>
        <v>34.747341136293144</v>
      </c>
      <c r="K2470" s="99">
        <f>J2470+K2471</f>
        <v>26.159350159763385</v>
      </c>
      <c r="L2470" s="99">
        <f>K2470+L2471</f>
        <v>32.292110535714379</v>
      </c>
      <c r="M2470" s="99">
        <f>L2470+M2471</f>
        <v>34.029823981385697</v>
      </c>
      <c r="N2470" s="99">
        <f>M2470+N2471</f>
        <v>28.798093743124156</v>
      </c>
    </row>
    <row r="2471" spans="3:14" x14ac:dyDescent="0.3">
      <c r="C2471" t="str">
        <f>C2457</f>
        <v>Amounts owed to associates and JV</v>
      </c>
      <c r="D2471" t="s">
        <v>1004</v>
      </c>
      <c r="E2471" s="60">
        <f>E2457/'HISTORICAL FS'!E13</f>
        <v>1.9045442425627546E-4</v>
      </c>
      <c r="F2471" s="60">
        <f>F2457/'HISTORICAL FS'!F13</f>
        <v>7.4265303957279775E-4</v>
      </c>
      <c r="G2471" s="60">
        <f>G2457/'HISTORICAL FS'!G13</f>
        <v>3.6249794035261168E-4</v>
      </c>
      <c r="H2471" s="60">
        <f>H2457/'HISTORICAL FS'!H13</f>
        <v>4.0503399392449008E-4</v>
      </c>
      <c r="I2471" s="60">
        <f>I2457/'HISTORICAL FS'!I13</f>
        <v>8.0571799870045487E-4</v>
      </c>
      <c r="J2471" s="90">
        <f>AVERAGE(E2471:I2471)</f>
        <v>5.0127147936132599E-4</v>
      </c>
      <c r="K2471" s="99">
        <f>F2470-E2470</f>
        <v>-8.5879909765297597</v>
      </c>
      <c r="L2471">
        <f>G2470-F2470</f>
        <v>6.1327603759509941</v>
      </c>
      <c r="M2471">
        <f>H2470-G2470</f>
        <v>1.7377134456713179</v>
      </c>
      <c r="N2471">
        <f>I2470-H2470</f>
        <v>-5.2317302382615409</v>
      </c>
    </row>
    <row r="2472" spans="3:14" x14ac:dyDescent="0.3">
      <c r="C2472" t="str">
        <f>C2458</f>
        <v>Refund liabilities</v>
      </c>
      <c r="D2472" t="s">
        <v>996</v>
      </c>
      <c r="E2472" s="71">
        <f>E2458/E2446</f>
        <v>7.5829383886255918E-3</v>
      </c>
      <c r="F2472" s="71">
        <f>F2458/F2446</f>
        <v>1.253397765025672E-2</v>
      </c>
      <c r="G2472" s="71">
        <f>G2458/G2446</f>
        <v>1.4434330299089726E-2</v>
      </c>
      <c r="H2472" s="71">
        <f>H2458/H2446</f>
        <v>5.5131761442441057E-2</v>
      </c>
      <c r="I2472" s="71">
        <f>I2458/I2446</f>
        <v>6.6350710900473939E-2</v>
      </c>
      <c r="J2472" s="10">
        <f>I2472+J2473</f>
        <v>7.1301750162105063E-2</v>
      </c>
      <c r="K2472" s="10">
        <f>J2472+K2473</f>
        <v>7.3202102810938072E-2</v>
      </c>
      <c r="L2472" s="10">
        <f>K2472+L2473</f>
        <v>0.11389953395428939</v>
      </c>
      <c r="M2472" s="10">
        <f>L2472+M2473</f>
        <v>0.12511848341232229</v>
      </c>
      <c r="N2472" s="10">
        <f>AVERAGE(J2472:M2472)</f>
        <v>9.5880467584913712E-2</v>
      </c>
    </row>
    <row r="2473" spans="3:14" x14ac:dyDescent="0.3">
      <c r="E2473" s="71"/>
      <c r="F2473" s="71">
        <f>F2472-E2472</f>
        <v>4.9510392616311282E-3</v>
      </c>
      <c r="G2473" s="71">
        <f>G2472-F2472</f>
        <v>1.9003526488330057E-3</v>
      </c>
      <c r="H2473" s="71">
        <f>H2472-G2472</f>
        <v>4.069743114335133E-2</v>
      </c>
      <c r="I2473" s="71">
        <f>I2472-H2472</f>
        <v>1.1218949458032881E-2</v>
      </c>
      <c r="J2473" s="71">
        <v>4.9510392616311282E-3</v>
      </c>
      <c r="K2473" s="71">
        <v>1.9003526488330057E-3</v>
      </c>
      <c r="L2473" s="71">
        <v>4.069743114335133E-2</v>
      </c>
      <c r="M2473" s="71">
        <v>1.1218949458032881E-2</v>
      </c>
    </row>
    <row r="2474" spans="3:14" x14ac:dyDescent="0.3">
      <c r="C2474" t="str">
        <f>C2459</f>
        <v>Other taxation and social security</v>
      </c>
      <c r="D2474" t="s">
        <v>1030</v>
      </c>
      <c r="E2474" s="60">
        <f>E2459/E2516</f>
        <v>0.1092150170648464</v>
      </c>
      <c r="F2474" s="60">
        <f>F2459/F2516</f>
        <v>0.12391557684837499</v>
      </c>
      <c r="G2474" s="60">
        <f>G2459/G2516</f>
        <v>0.14701344500771435</v>
      </c>
      <c r="H2474" s="60">
        <f>H2459/H2516</f>
        <v>0.12100344318740777</v>
      </c>
      <c r="I2474" s="60">
        <f>I2459/I2516</f>
        <v>0.10832111436950147</v>
      </c>
      <c r="J2474" s="90">
        <f>AVERAGE(E2474:I2474)</f>
        <v>0.12189371929556898</v>
      </c>
    </row>
    <row r="2475" spans="3:14" x14ac:dyDescent="0.3">
      <c r="C2475" t="str">
        <f>C2460</f>
        <v>Deferred revenue from the sale of gift cards</v>
      </c>
      <c r="D2475" t="s">
        <v>997</v>
      </c>
      <c r="E2475" s="60">
        <f>E2460/'HISTORICAL FS'!E12</f>
        <v>1.7185844916664868E-2</v>
      </c>
      <c r="F2475" s="60">
        <f>F2460/'HISTORICAL FS'!F12</f>
        <v>1.6726261422328168E-2</v>
      </c>
      <c r="G2475" s="60">
        <f>G2460/'HISTORICAL FS'!G12</f>
        <v>1.8029502822800948E-2</v>
      </c>
      <c r="H2475" s="60">
        <f>H2460/'HISTORICAL FS'!H12</f>
        <v>1.7570814468544155E-2</v>
      </c>
      <c r="I2475" s="60">
        <f>I2460/'HISTORICAL FS'!I12</f>
        <v>1.6605567067074316E-2</v>
      </c>
      <c r="J2475" s="90">
        <f>AVERAGE(E2475:I2475)</f>
        <v>1.7223598139482495E-2</v>
      </c>
    </row>
    <row r="2476" spans="3:14" x14ac:dyDescent="0.3">
      <c r="C2476" t="str">
        <f>C2461</f>
        <v xml:space="preserve">Share based payment liability </v>
      </c>
      <c r="J2476">
        <f>I2461</f>
        <v>0.2</v>
      </c>
      <c r="K2476">
        <f>J2461</f>
        <v>0</v>
      </c>
      <c r="L2476">
        <f>K2461</f>
        <v>0</v>
      </c>
      <c r="M2476">
        <f>L2461</f>
        <v>0</v>
      </c>
      <c r="N2476">
        <f>M2461</f>
        <v>0</v>
      </c>
    </row>
    <row r="2481" spans="3:14" x14ac:dyDescent="0.3">
      <c r="C2481" s="2" t="str">
        <f>C2464</f>
        <v>other creditors and accruals</v>
      </c>
    </row>
    <row r="2482" spans="3:14" x14ac:dyDescent="0.3">
      <c r="C2482" t="s">
        <v>998</v>
      </c>
      <c r="E2482">
        <v>99.1</v>
      </c>
      <c r="F2482">
        <v>42.7</v>
      </c>
      <c r="G2482">
        <v>93.8</v>
      </c>
      <c r="H2482">
        <v>58.6</v>
      </c>
      <c r="I2482">
        <v>80.099999999999994</v>
      </c>
    </row>
    <row r="2483" spans="3:14" x14ac:dyDescent="0.3">
      <c r="C2483" t="s">
        <v>999</v>
      </c>
      <c r="E2483">
        <v>82.7</v>
      </c>
      <c r="F2483">
        <v>92.1</v>
      </c>
      <c r="G2483">
        <v>99.4</v>
      </c>
      <c r="H2483">
        <v>119.1</v>
      </c>
      <c r="I2483">
        <v>145.69999999999999</v>
      </c>
    </row>
    <row r="2484" spans="3:14" x14ac:dyDescent="0.3">
      <c r="C2484" t="s">
        <v>1000</v>
      </c>
      <c r="F2484">
        <v>29</v>
      </c>
      <c r="G2484">
        <v>48</v>
      </c>
      <c r="H2484">
        <v>41.4</v>
      </c>
      <c r="I2484">
        <v>33</v>
      </c>
      <c r="J2484">
        <f>AVERAGE(F2484:I2484)</f>
        <v>37.85</v>
      </c>
    </row>
    <row r="2485" spans="3:14" x14ac:dyDescent="0.3">
      <c r="C2485" t="s">
        <v>1001</v>
      </c>
      <c r="F2485">
        <v>17.3</v>
      </c>
      <c r="G2485">
        <v>15.3</v>
      </c>
      <c r="H2485">
        <v>15.1</v>
      </c>
      <c r="I2485">
        <v>13.6</v>
      </c>
    </row>
    <row r="2486" spans="3:14" x14ac:dyDescent="0.3">
      <c r="C2486" t="s">
        <v>1002</v>
      </c>
      <c r="F2486">
        <v>14.6</v>
      </c>
      <c r="G2486">
        <v>16.399999999999999</v>
      </c>
      <c r="H2486">
        <v>16</v>
      </c>
      <c r="I2486">
        <v>18.100000000000001</v>
      </c>
      <c r="J2486" s="99">
        <f>I2486*J2513</f>
        <v>15.218609865470853</v>
      </c>
      <c r="K2486" s="99">
        <f>J2486</f>
        <v>15.218609865470853</v>
      </c>
      <c r="L2486" s="99">
        <f>K2486*L2513</f>
        <v>7.6093049327354265</v>
      </c>
      <c r="M2486" s="99">
        <f>L2486</f>
        <v>7.6093049327354265</v>
      </c>
      <c r="N2486" s="99">
        <f>M2486</f>
        <v>7.6093049327354265</v>
      </c>
    </row>
    <row r="2487" spans="3:14" x14ac:dyDescent="0.3">
      <c r="E2487" s="2">
        <f>SUM(E2482:E2486)</f>
        <v>181.8</v>
      </c>
      <c r="F2487" s="2">
        <f>SUM(F2482:F2486)</f>
        <v>195.70000000000002</v>
      </c>
      <c r="G2487" s="2">
        <f>SUM(G2482:G2486)</f>
        <v>272.89999999999998</v>
      </c>
      <c r="H2487" s="2">
        <f>SUM(H2482:H2486)</f>
        <v>250.2</v>
      </c>
      <c r="I2487" s="2">
        <f>SUM(I2482:I2486)</f>
        <v>290.5</v>
      </c>
    </row>
    <row r="2488" spans="3:14" x14ac:dyDescent="0.3">
      <c r="C2488" s="2" t="s">
        <v>1015</v>
      </c>
      <c r="D2488" t="s">
        <v>1016</v>
      </c>
      <c r="E2488" s="2">
        <f>E2464-E2487</f>
        <v>179.39999999999998</v>
      </c>
      <c r="F2488" s="2">
        <f>F2464-F2487</f>
        <v>174.79999999999998</v>
      </c>
      <c r="G2488" s="2">
        <f>G2464-G2487</f>
        <v>177.20000000000005</v>
      </c>
      <c r="H2488" s="2">
        <f>H2464-H2487</f>
        <v>190.89999999999998</v>
      </c>
      <c r="I2488" s="2">
        <f>I2464-I2487</f>
        <v>201.90000000000003</v>
      </c>
      <c r="J2488" s="2">
        <f>I2488</f>
        <v>201.90000000000003</v>
      </c>
    </row>
    <row r="2489" spans="3:14" x14ac:dyDescent="0.3">
      <c r="E2489" s="2"/>
      <c r="F2489" s="2"/>
      <c r="G2489" s="2"/>
      <c r="H2489" s="2"/>
      <c r="I2489" s="2"/>
    </row>
    <row r="2490" spans="3:14" x14ac:dyDescent="0.3">
      <c r="C2490" t="s">
        <v>1003</v>
      </c>
    </row>
    <row r="2491" spans="3:14" x14ac:dyDescent="0.3">
      <c r="C2491" t="s">
        <v>994</v>
      </c>
      <c r="E2491">
        <v>4.7</v>
      </c>
    </row>
    <row r="2493" spans="3:14" x14ac:dyDescent="0.3">
      <c r="C2493" t="s">
        <v>1005</v>
      </c>
      <c r="E2493">
        <v>795.2</v>
      </c>
      <c r="F2493">
        <v>878.3</v>
      </c>
      <c r="G2493">
        <v>1022.1</v>
      </c>
      <c r="H2493">
        <v>1128.3</v>
      </c>
      <c r="I2493">
        <v>1246.2</v>
      </c>
    </row>
    <row r="2496" spans="3:14" x14ac:dyDescent="0.3">
      <c r="C2496" s="2" t="str">
        <f>C2481</f>
        <v>other creditors and accruals</v>
      </c>
    </row>
    <row r="2497" spans="1:14" x14ac:dyDescent="0.3">
      <c r="C2497" t="str">
        <f>C2482</f>
        <v>staff related accruals</v>
      </c>
      <c r="D2497" t="s">
        <v>1030</v>
      </c>
      <c r="E2497" s="60">
        <f>E2482/E2516</f>
        <v>0.14092718998862341</v>
      </c>
      <c r="F2497" s="60">
        <f>F2482/F2516</f>
        <v>5.5289395312702327E-2</v>
      </c>
      <c r="G2497" s="60">
        <f>G2482/G2516</f>
        <v>0.10337227242671369</v>
      </c>
      <c r="H2497" s="60">
        <f>H2482/H2516</f>
        <v>5.764879488440728E-2</v>
      </c>
      <c r="I2497" s="60">
        <f>I2482/I2516</f>
        <v>7.3405425219941339E-2</v>
      </c>
      <c r="J2497" s="90">
        <f>AVERAGE(E2497:I2497)</f>
        <v>8.612861556647762E-2</v>
      </c>
    </row>
    <row r="2498" spans="1:14" x14ac:dyDescent="0.3">
      <c r="C2498" t="str">
        <f>C2483</f>
        <v>warehouse and duty related accruals</v>
      </c>
      <c r="D2498" t="s">
        <v>1004</v>
      </c>
      <c r="E2498" s="60">
        <f>E2483/'HISTORICAL FS'!E13</f>
        <v>3.1501161771987959E-2</v>
      </c>
      <c r="F2498" s="60">
        <f>F2483/'HISTORICAL FS'!F13</f>
        <v>3.2570640449835556E-2</v>
      </c>
      <c r="G2498" s="60">
        <f>G2483/'HISTORICAL FS'!G13</f>
        <v>3.2756632064590542E-2</v>
      </c>
      <c r="H2498" s="60">
        <f>H2483/'HISTORICAL FS'!H13</f>
        <v>3.4456820483147688E-2</v>
      </c>
      <c r="I2498" s="60">
        <f>I2483/'HISTORICAL FS'!I13</f>
        <v>3.7868745938921373E-2</v>
      </c>
      <c r="J2498" s="90">
        <f>AVERAGE(E2498:I2498)</f>
        <v>3.3830800141696621E-2</v>
      </c>
    </row>
    <row r="2499" spans="1:14" x14ac:dyDescent="0.3">
      <c r="C2499" t="str">
        <f>C2484</f>
        <v>property accruals</v>
      </c>
      <c r="D2499" t="s">
        <v>1024</v>
      </c>
      <c r="J2499">
        <v>37.85</v>
      </c>
    </row>
    <row r="2500" spans="1:14" x14ac:dyDescent="0.3">
      <c r="C2500" t="str">
        <f>C2485</f>
        <v>marketing accruals</v>
      </c>
      <c r="D2500" t="s">
        <v>997</v>
      </c>
      <c r="E2500" s="60">
        <f>E2485/'HISTORICAL FS'!E12</f>
        <v>0</v>
      </c>
      <c r="F2500" s="60">
        <f>F2485/'HISTORICAL FS'!F12</f>
        <v>3.4366309098132698E-3</v>
      </c>
      <c r="G2500" s="60">
        <f>G2485/'HISTORICAL FS'!G12</f>
        <v>2.7863777089783283E-3</v>
      </c>
      <c r="H2500" s="60">
        <f>H2485/'HISTORICAL FS'!H12</f>
        <v>2.4680864974420159E-3</v>
      </c>
      <c r="I2500" s="60">
        <f>I2485/'HISTORICAL FS'!I12</f>
        <v>1.9706432121484358E-3</v>
      </c>
      <c r="J2500" s="90">
        <f>AVERAGE(E2500:I2500)</f>
        <v>2.13234766567641E-3</v>
      </c>
    </row>
    <row r="2502" spans="1:14" x14ac:dyDescent="0.3">
      <c r="C2502" t="str">
        <f>C2486</f>
        <v>unpaid interest on corrporate bonds within accruals</v>
      </c>
      <c r="J2502" s="99">
        <f>J2486</f>
        <v>15.218609865470853</v>
      </c>
      <c r="K2502" s="99">
        <f>K2486</f>
        <v>15.218609865470853</v>
      </c>
      <c r="L2502" s="99">
        <f>L2486</f>
        <v>7.6093049327354265</v>
      </c>
      <c r="M2502" s="99">
        <f>M2486</f>
        <v>7.6093049327354265</v>
      </c>
      <c r="N2502" s="99">
        <f>N2486</f>
        <v>7.6093049327354265</v>
      </c>
    </row>
    <row r="2504" spans="1:14" x14ac:dyDescent="0.3">
      <c r="C2504" s="2" t="s">
        <v>156</v>
      </c>
    </row>
    <row r="2505" spans="1:14" x14ac:dyDescent="0.3">
      <c r="A2505" t="s">
        <v>1007</v>
      </c>
      <c r="C2505" t="str">
        <f>'HISTORICAL FS'!C135</f>
        <v>Corporate bonds</v>
      </c>
      <c r="E2505">
        <f>'HISTORICAL FS'!E135</f>
        <v>0</v>
      </c>
      <c r="F2505">
        <f>'HISTORICAL FS'!F135</f>
        <v>0</v>
      </c>
      <c r="G2505">
        <f>'HISTORICAL FS'!G135</f>
        <v>0</v>
      </c>
      <c r="H2505">
        <f>'HISTORICAL FS'!H135</f>
        <v>250</v>
      </c>
      <c r="I2505">
        <f>'HISTORICAL FS'!I135</f>
        <v>112.9</v>
      </c>
    </row>
    <row r="2506" spans="1:14" x14ac:dyDescent="0.3">
      <c r="A2506" t="s">
        <v>1008</v>
      </c>
      <c r="C2506" t="str">
        <f>'HISTORICAL FS'!C145</f>
        <v>Corporate bonds</v>
      </c>
      <c r="E2506">
        <f>'HISTORICAL FS'!E145</f>
        <v>815.7</v>
      </c>
      <c r="F2506">
        <f>'HISTORICAL FS'!F145</f>
        <v>790.7</v>
      </c>
      <c r="G2506">
        <f>'HISTORICAL FS'!G145</f>
        <v>790.8</v>
      </c>
      <c r="H2506">
        <f>'HISTORICAL FS'!H145</f>
        <v>543.79999999999995</v>
      </c>
      <c r="I2506">
        <f>'HISTORICAL FS'!I145</f>
        <v>600</v>
      </c>
    </row>
    <row r="2508" spans="1:14" x14ac:dyDescent="0.3">
      <c r="A2508" s="2" t="s">
        <v>1010</v>
      </c>
      <c r="C2508" t="s">
        <v>1006</v>
      </c>
      <c r="I2508">
        <v>713.6</v>
      </c>
    </row>
    <row r="2509" spans="1:14" x14ac:dyDescent="0.3">
      <c r="C2509" t="s">
        <v>1009</v>
      </c>
    </row>
    <row r="2510" spans="1:14" x14ac:dyDescent="0.3">
      <c r="C2510" t="s">
        <v>1011</v>
      </c>
      <c r="I2510">
        <v>113.6</v>
      </c>
    </row>
    <row r="2511" spans="1:14" x14ac:dyDescent="0.3">
      <c r="C2511" t="s">
        <v>1012</v>
      </c>
      <c r="I2511">
        <v>300</v>
      </c>
    </row>
    <row r="2512" spans="1:14" x14ac:dyDescent="0.3">
      <c r="I2512">
        <v>300</v>
      </c>
    </row>
    <row r="2513" spans="3:12" x14ac:dyDescent="0.3">
      <c r="C2513" t="s">
        <v>1014</v>
      </c>
      <c r="D2513" t="s">
        <v>1013</v>
      </c>
      <c r="J2513">
        <f>(I2511+I2512)/I2508</f>
        <v>0.84080717488789236</v>
      </c>
      <c r="L2513">
        <f>I2512/(I2511+I2512)</f>
        <v>0.5</v>
      </c>
    </row>
    <row r="2516" spans="3:12" x14ac:dyDescent="0.3">
      <c r="C2516" t="s">
        <v>1031</v>
      </c>
      <c r="E2516">
        <v>703.2</v>
      </c>
      <c r="F2516">
        <v>772.3</v>
      </c>
      <c r="G2516">
        <v>907.4</v>
      </c>
      <c r="H2516">
        <v>1016.5</v>
      </c>
      <c r="I2516">
        <v>1091.2</v>
      </c>
    </row>
    <row r="2517" spans="3:12" x14ac:dyDescent="0.3">
      <c r="F2517" s="60">
        <f>(F2516/E2516)-1</f>
        <v>9.8265073947667592E-2</v>
      </c>
      <c r="G2517" s="60">
        <f>(G2516/F2516)-1</f>
        <v>0.17493202123527141</v>
      </c>
      <c r="H2517" s="60">
        <f>(H2516/G2516)-1</f>
        <v>0.12023363456028213</v>
      </c>
      <c r="I2517" s="60">
        <f>(I2516/H2516)-1</f>
        <v>7.3487456960157349E-2</v>
      </c>
      <c r="J2517" s="90">
        <f>AVERAGE(F2517:I2517)</f>
        <v>0.11672954667584462</v>
      </c>
    </row>
    <row r="2518" spans="3:12" x14ac:dyDescent="0.3">
      <c r="J2518" s="90"/>
    </row>
    <row r="2519" spans="3:12" x14ac:dyDescent="0.3">
      <c r="C2519" t="s">
        <v>1032</v>
      </c>
      <c r="E2519" s="60">
        <f>E2516/'HISTORICAL FS'!E12</f>
        <v>0.15201366220627341</v>
      </c>
      <c r="F2519" s="60">
        <f>F2516/'HISTORICAL FS'!F12</f>
        <v>0.15341676599125942</v>
      </c>
      <c r="G2519" s="60">
        <f>G2516/'HISTORICAL FS'!G12</f>
        <v>0.16525223092332908</v>
      </c>
      <c r="H2519" s="60">
        <f>H2516/'HISTORICAL FS'!H12</f>
        <v>0.1661463526258152</v>
      </c>
      <c r="I2519" s="60">
        <f>I2516/'HISTORICAL FS'!I12</f>
        <v>0.15811513772767449</v>
      </c>
      <c r="J2519" s="90">
        <f>AVERAGE(E2519:I2519)</f>
        <v>0.15898882989487034</v>
      </c>
    </row>
    <row r="2523" spans="3:12" x14ac:dyDescent="0.3">
      <c r="C2523" s="2" t="s">
        <v>1039</v>
      </c>
    </row>
    <row r="2524" spans="3:12" x14ac:dyDescent="0.3">
      <c r="C2524" s="2" t="s">
        <v>454</v>
      </c>
    </row>
    <row r="2525" spans="3:12" x14ac:dyDescent="0.3">
      <c r="C2525" t="s">
        <v>1040</v>
      </c>
      <c r="E2525">
        <v>123.2</v>
      </c>
      <c r="F2525">
        <v>137.9</v>
      </c>
      <c r="G2525">
        <v>191.5</v>
      </c>
      <c r="H2525">
        <v>238.2</v>
      </c>
      <c r="I2525">
        <v>288.39999999999998</v>
      </c>
    </row>
    <row r="2526" spans="3:12" x14ac:dyDescent="0.3">
      <c r="C2526" t="s">
        <v>1041</v>
      </c>
      <c r="E2526">
        <v>11.6</v>
      </c>
      <c r="F2526">
        <v>17.7</v>
      </c>
      <c r="G2526">
        <v>11.5</v>
      </c>
      <c r="H2526">
        <v>-6.3</v>
      </c>
      <c r="I2526">
        <v>-6.2</v>
      </c>
    </row>
    <row r="2527" spans="3:12" x14ac:dyDescent="0.3">
      <c r="C2527" t="s">
        <v>1042</v>
      </c>
      <c r="E2527" s="47">
        <f>E2525+E2526</f>
        <v>134.80000000000001</v>
      </c>
      <c r="F2527" s="47">
        <f>F2525+F2526</f>
        <v>155.6</v>
      </c>
      <c r="G2527" s="47">
        <f>G2525+G2526</f>
        <v>203</v>
      </c>
      <c r="H2527" s="47">
        <f>H2525+H2526</f>
        <v>231.89999999999998</v>
      </c>
      <c r="I2527" s="47">
        <f>I2525+I2526</f>
        <v>282.2</v>
      </c>
    </row>
    <row r="2528" spans="3:12" x14ac:dyDescent="0.3">
      <c r="F2528">
        <f>F2527-E2527</f>
        <v>20.799999999999983</v>
      </c>
      <c r="G2528">
        <f>G2527-F2527</f>
        <v>47.400000000000006</v>
      </c>
      <c r="H2528">
        <f>H2527-G2527</f>
        <v>28.899999999999977</v>
      </c>
      <c r="I2528">
        <f>I2527-H2527</f>
        <v>50.300000000000011</v>
      </c>
    </row>
    <row r="2529" spans="1:15" x14ac:dyDescent="0.3">
      <c r="C2529" t="s">
        <v>1052</v>
      </c>
      <c r="E2529" s="103">
        <f>E2527/E2550</f>
        <v>0.92582417582417598</v>
      </c>
      <c r="F2529" s="103">
        <f>F2527/F2550</f>
        <v>0.98108448928121061</v>
      </c>
      <c r="G2529" s="103">
        <f>G2527/G2550</f>
        <v>0.94287041337668365</v>
      </c>
      <c r="H2529" s="103">
        <f>H2527/H2550</f>
        <v>0.95118949958982757</v>
      </c>
      <c r="I2529" s="103">
        <f>I2527/I2550</f>
        <v>0.95790902919212484</v>
      </c>
      <c r="J2529" s="90">
        <f>AVERAGE(E2529:I2529)</f>
        <v>0.95177552145280464</v>
      </c>
      <c r="K2529" s="90">
        <f>AVERAGE(F2529:J2529)</f>
        <v>0.95696579057853037</v>
      </c>
      <c r="L2529" s="90">
        <f>AVERAGE(G2529:K2529)</f>
        <v>0.95214205083799419</v>
      </c>
      <c r="M2529" s="90">
        <f>AVERAGE(H2529:L2529)</f>
        <v>0.95399637833025641</v>
      </c>
      <c r="N2529" s="90">
        <f>AVERAGE(I2529:M2529)</f>
        <v>0.95455775407834209</v>
      </c>
    </row>
    <row r="2530" spans="1:15" x14ac:dyDescent="0.3">
      <c r="E2530" s="103"/>
      <c r="F2530" s="103"/>
      <c r="G2530" s="103"/>
      <c r="H2530" s="103"/>
      <c r="I2530" s="103"/>
    </row>
    <row r="2531" spans="1:15" x14ac:dyDescent="0.3">
      <c r="C2531" s="2" t="s">
        <v>1043</v>
      </c>
    </row>
    <row r="2532" spans="1:15" x14ac:dyDescent="0.3">
      <c r="C2532" t="s">
        <v>1044</v>
      </c>
      <c r="E2532">
        <v>20.7</v>
      </c>
      <c r="F2532">
        <v>17.7</v>
      </c>
      <c r="G2532">
        <v>28.6</v>
      </c>
      <c r="H2532">
        <v>6.6</v>
      </c>
      <c r="I2532">
        <v>12.5</v>
      </c>
      <c r="J2532">
        <f>AVERAGE(E2532:I2532)</f>
        <v>17.22</v>
      </c>
    </row>
    <row r="2533" spans="1:15" x14ac:dyDescent="0.3">
      <c r="C2533" t="s">
        <v>1045</v>
      </c>
      <c r="E2533">
        <v>-9.9</v>
      </c>
      <c r="F2533">
        <v>-14.7</v>
      </c>
      <c r="G2533">
        <v>-16.3</v>
      </c>
      <c r="H2533">
        <v>5.3</v>
      </c>
      <c r="I2533">
        <v>-0.1</v>
      </c>
    </row>
    <row r="2534" spans="1:15" x14ac:dyDescent="0.3">
      <c r="C2534" t="s">
        <v>1046</v>
      </c>
      <c r="E2534" s="47">
        <f>SUM(E2532:E2533)</f>
        <v>10.799999999999999</v>
      </c>
      <c r="F2534" s="47">
        <f>SUM(F2532:F2533)</f>
        <v>3</v>
      </c>
      <c r="G2534" s="47">
        <f>SUM(G2532:G2533)</f>
        <v>12.3</v>
      </c>
      <c r="H2534" s="47">
        <f>SUM(H2532:H2533)</f>
        <v>11.899999999999999</v>
      </c>
      <c r="I2534" s="47">
        <f>SUM(I2532:I2533)</f>
        <v>12.4</v>
      </c>
    </row>
    <row r="2535" spans="1:15" x14ac:dyDescent="0.3">
      <c r="F2535">
        <f>F2534-E2534</f>
        <v>-7.7999999999999989</v>
      </c>
      <c r="G2535">
        <f>G2534-F2534</f>
        <v>9.3000000000000007</v>
      </c>
      <c r="H2535">
        <f>H2534-G2534</f>
        <v>-0.40000000000000213</v>
      </c>
      <c r="I2535">
        <f>I2534-H2534</f>
        <v>0.50000000000000178</v>
      </c>
    </row>
    <row r="2536" spans="1:15" x14ac:dyDescent="0.3">
      <c r="C2536" t="s">
        <v>1052</v>
      </c>
      <c r="E2536" s="61">
        <f>E2534/E2550</f>
        <v>7.4175824175824176E-2</v>
      </c>
      <c r="F2536" s="61">
        <f>F2534/F2550</f>
        <v>1.8915510718789406E-2</v>
      </c>
      <c r="G2536" s="61">
        <f>G2534/G2550</f>
        <v>5.7129586623316304E-2</v>
      </c>
      <c r="H2536" s="61">
        <f>H2534/H2550</f>
        <v>4.8810500410172264E-2</v>
      </c>
      <c r="I2536" s="61">
        <f>I2534/I2550</f>
        <v>4.2090970807875085E-2</v>
      </c>
      <c r="J2536" s="90">
        <f>AVERAGE(E2536:I2536)</f>
        <v>4.8224478547195443E-2</v>
      </c>
      <c r="K2536" s="90">
        <f>AVERAGE(F2536:J2536)</f>
        <v>4.3034209421469696E-2</v>
      </c>
      <c r="L2536" s="90">
        <f>AVERAGE(G2536:K2536)</f>
        <v>4.7857949162005753E-2</v>
      </c>
      <c r="M2536" s="90">
        <f>AVERAGE(H2536:L2536)</f>
        <v>4.6003621669743644E-2</v>
      </c>
      <c r="N2536" s="90">
        <f>AVERAGE(I2536:M2536)</f>
        <v>4.5442245921657923E-2</v>
      </c>
      <c r="O2536" s="90"/>
    </row>
    <row r="2538" spans="1:15" x14ac:dyDescent="0.3">
      <c r="C2538" t="s">
        <v>1047</v>
      </c>
      <c r="E2538" s="2">
        <f>E2534+E2527</f>
        <v>145.60000000000002</v>
      </c>
      <c r="F2538" s="2">
        <f>F2534+F2527</f>
        <v>158.6</v>
      </c>
      <c r="G2538" s="2">
        <f>G2534+G2527</f>
        <v>215.3</v>
      </c>
      <c r="H2538" s="2">
        <f>H2534+H2527</f>
        <v>243.79999999999998</v>
      </c>
      <c r="I2538" s="2">
        <f>I2534+I2527</f>
        <v>294.59999999999997</v>
      </c>
    </row>
    <row r="2541" spans="1:15" x14ac:dyDescent="0.3">
      <c r="C2541" s="2" t="s">
        <v>1048</v>
      </c>
    </row>
    <row r="2542" spans="1:15" x14ac:dyDescent="0.3">
      <c r="A2542" t="s">
        <v>1049</v>
      </c>
      <c r="C2542" t="str">
        <f>C964</f>
        <v>Deferred Tax Assets</v>
      </c>
      <c r="E2542">
        <f>E964</f>
        <v>34</v>
      </c>
      <c r="F2542">
        <f>F964</f>
        <v>33.299999999999997</v>
      </c>
      <c r="G2542">
        <f>G964</f>
        <v>0</v>
      </c>
      <c r="H2542">
        <f>H964</f>
        <v>0</v>
      </c>
      <c r="I2542">
        <f>I964</f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5" x14ac:dyDescent="0.3">
      <c r="A2543" t="s">
        <v>917</v>
      </c>
      <c r="C2543" t="str">
        <f>C973</f>
        <v>current  tax assets</v>
      </c>
      <c r="E2543">
        <f>E973</f>
        <v>0</v>
      </c>
      <c r="F2543">
        <f>F973</f>
        <v>0</v>
      </c>
      <c r="G2543">
        <f>G973</f>
        <v>0</v>
      </c>
      <c r="H2543">
        <f>H973</f>
        <v>9.3000000000000007</v>
      </c>
      <c r="I2543">
        <f>I973</f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5" spans="1:9" x14ac:dyDescent="0.3">
      <c r="A2545" t="s">
        <v>497</v>
      </c>
      <c r="C2545" t="str">
        <f>C985</f>
        <v>Current Tax Liabilities</v>
      </c>
      <c r="E2545">
        <f>E985</f>
        <v>13</v>
      </c>
      <c r="F2545">
        <f>F985</f>
        <v>12.9</v>
      </c>
      <c r="G2545">
        <f>G985</f>
        <v>8.6</v>
      </c>
      <c r="H2545">
        <f>H985</f>
        <v>0</v>
      </c>
      <c r="I2545">
        <f>I985</f>
        <v>9.1999999999999993</v>
      </c>
    </row>
    <row r="2546" spans="1:9" x14ac:dyDescent="0.3">
      <c r="A2546" t="s">
        <v>1050</v>
      </c>
      <c r="C2546" t="str">
        <f>C996</f>
        <v>Deferred tax liabilities</v>
      </c>
      <c r="E2546">
        <f>E996</f>
        <v>0</v>
      </c>
      <c r="F2546">
        <f>F996</f>
        <v>0</v>
      </c>
      <c r="G2546">
        <f>G996</f>
        <v>48.1</v>
      </c>
      <c r="H2546">
        <f>H996</f>
        <v>58.1</v>
      </c>
      <c r="I2546">
        <f>I996</f>
        <v>34.700000000000003</v>
      </c>
    </row>
    <row r="2549" spans="1:9" x14ac:dyDescent="0.3">
      <c r="C2549" t="s">
        <v>1051</v>
      </c>
    </row>
    <row r="2550" spans="1:9" x14ac:dyDescent="0.3">
      <c r="C2550" t="str">
        <f>'HISTORICAL FS'!C28</f>
        <v>Taxation</v>
      </c>
      <c r="E2550">
        <f>-'HISTORICAL FS'!E28</f>
        <v>145.6</v>
      </c>
      <c r="F2550">
        <f>-'HISTORICAL FS'!F28</f>
        <v>158.6</v>
      </c>
      <c r="G2550">
        <f>-'HISTORICAL FS'!G28</f>
        <v>215.3</v>
      </c>
      <c r="H2550">
        <f>-'HISTORICAL FS'!H28</f>
        <v>243.8</v>
      </c>
      <c r="I2550">
        <f>-'HISTORICAL FS'!I28</f>
        <v>294.60000000000002</v>
      </c>
    </row>
    <row r="2552" spans="1:9" x14ac:dyDescent="0.3">
      <c r="C2552" t="s">
        <v>7</v>
      </c>
      <c r="E2552">
        <f>E2550-E2538</f>
        <v>0</v>
      </c>
      <c r="F2552">
        <f>F2550-F2538</f>
        <v>0</v>
      </c>
      <c r="G2552">
        <f>G2550-G2538</f>
        <v>0</v>
      </c>
      <c r="H2552">
        <f>H2550-H2538</f>
        <v>0</v>
      </c>
      <c r="I2552">
        <f>I2550-I2538</f>
        <v>0</v>
      </c>
    </row>
    <row r="2554" spans="1:9" x14ac:dyDescent="0.3">
      <c r="A2554" t="s">
        <v>326</v>
      </c>
      <c r="C2554" t="s">
        <v>74</v>
      </c>
      <c r="E2554">
        <v>34</v>
      </c>
      <c r="F2554">
        <v>33.299999999999997</v>
      </c>
      <c r="G2554">
        <v>0</v>
      </c>
      <c r="H2554">
        <v>0</v>
      </c>
      <c r="I2554">
        <v>0</v>
      </c>
    </row>
    <row r="2555" spans="1:9" x14ac:dyDescent="0.3">
      <c r="A2555" t="s">
        <v>917</v>
      </c>
      <c r="C2555" t="s">
        <v>460</v>
      </c>
      <c r="E2555">
        <v>0</v>
      </c>
      <c r="F2555">
        <v>0</v>
      </c>
      <c r="G2555">
        <v>0</v>
      </c>
      <c r="H2555">
        <v>9.3000000000000007</v>
      </c>
      <c r="I2555">
        <v>0</v>
      </c>
    </row>
    <row r="2557" spans="1:9" x14ac:dyDescent="0.3">
      <c r="A2557" t="s">
        <v>497</v>
      </c>
      <c r="C2557" t="s">
        <v>81</v>
      </c>
      <c r="E2557">
        <v>13</v>
      </c>
      <c r="F2557">
        <v>12.9</v>
      </c>
      <c r="G2557">
        <v>8.6</v>
      </c>
      <c r="H2557">
        <v>0</v>
      </c>
      <c r="I2557">
        <v>9.1999999999999993</v>
      </c>
    </row>
    <row r="2558" spans="1:9" x14ac:dyDescent="0.3">
      <c r="A2558" t="s">
        <v>1035</v>
      </c>
      <c r="C2558" t="s">
        <v>182</v>
      </c>
      <c r="E2558">
        <v>0</v>
      </c>
      <c r="F2558">
        <v>0</v>
      </c>
      <c r="G2558">
        <v>48.1</v>
      </c>
      <c r="H2558">
        <v>58.1</v>
      </c>
      <c r="I2558">
        <v>34.700000000000003</v>
      </c>
    </row>
    <row r="2560" spans="1:9" x14ac:dyDescent="0.3">
      <c r="C2560" t="s">
        <v>1058</v>
      </c>
      <c r="E2560">
        <v>-13</v>
      </c>
      <c r="F2560">
        <v>-12.9</v>
      </c>
      <c r="G2560">
        <v>-8.6</v>
      </c>
      <c r="H2560">
        <v>9.3000000000000007</v>
      </c>
      <c r="I2560">
        <v>-9.1999999999999993</v>
      </c>
    </row>
    <row r="2561" spans="3:14" x14ac:dyDescent="0.3">
      <c r="C2561" t="s">
        <v>1059</v>
      </c>
      <c r="E2561">
        <v>34</v>
      </c>
      <c r="F2561">
        <v>33.299999999999997</v>
      </c>
      <c r="G2561">
        <v>-48.1</v>
      </c>
      <c r="H2561">
        <v>-58.1</v>
      </c>
      <c r="I2561">
        <v>-34.700000000000003</v>
      </c>
    </row>
    <row r="2563" spans="3:14" x14ac:dyDescent="0.3">
      <c r="C2563" t="s">
        <v>1042</v>
      </c>
      <c r="E2563">
        <v>134.80000000000001</v>
      </c>
      <c r="F2563">
        <v>155.6</v>
      </c>
      <c r="G2563">
        <v>203</v>
      </c>
      <c r="H2563">
        <v>231.89999999999998</v>
      </c>
      <c r="I2563">
        <v>282.2</v>
      </c>
    </row>
    <row r="2564" spans="3:14" x14ac:dyDescent="0.3">
      <c r="C2564" t="s">
        <v>1046</v>
      </c>
      <c r="E2564">
        <v>10.799999999999999</v>
      </c>
      <c r="F2564">
        <v>3</v>
      </c>
      <c r="G2564">
        <v>12.3</v>
      </c>
      <c r="H2564">
        <v>11.899999999999999</v>
      </c>
      <c r="I2564">
        <v>12.4</v>
      </c>
    </row>
    <row r="2569" spans="3:14" x14ac:dyDescent="0.3">
      <c r="C2569" t="s">
        <v>1062</v>
      </c>
      <c r="F2569">
        <f>E2573</f>
        <v>-13</v>
      </c>
    </row>
    <row r="2570" spans="3:14" x14ac:dyDescent="0.3">
      <c r="C2570" t="s">
        <v>1063</v>
      </c>
      <c r="E2570">
        <f>E2550</f>
        <v>145.6</v>
      </c>
      <c r="F2570">
        <f>F2550</f>
        <v>158.6</v>
      </c>
      <c r="G2570">
        <f>G2550</f>
        <v>215.3</v>
      </c>
      <c r="H2570">
        <f>H2550</f>
        <v>243.8</v>
      </c>
      <c r="I2570">
        <f>I2550</f>
        <v>294.60000000000002</v>
      </c>
      <c r="J2570">
        <v>336.36837759622051</v>
      </c>
      <c r="K2570">
        <v>355.84951914926035</v>
      </c>
      <c r="L2570">
        <v>390.74774091237839</v>
      </c>
      <c r="M2570">
        <v>417.27593152430359</v>
      </c>
      <c r="N2570">
        <v>445.73059231932012</v>
      </c>
    </row>
    <row r="2571" spans="3:14" x14ac:dyDescent="0.3">
      <c r="C2571" t="s">
        <v>1064</v>
      </c>
      <c r="E2571">
        <v>21.7</v>
      </c>
      <c r="F2571">
        <v>1.1000000000000001</v>
      </c>
      <c r="G2571">
        <v>11.6</v>
      </c>
      <c r="H2571">
        <v>13.1</v>
      </c>
      <c r="I2571">
        <v>52</v>
      </c>
    </row>
    <row r="2572" spans="3:14" x14ac:dyDescent="0.3">
      <c r="C2572" t="s">
        <v>1056</v>
      </c>
      <c r="E2572">
        <f>-'HISTORICAL FS'!E63</f>
        <v>125.3</v>
      </c>
      <c r="F2572">
        <f>-'HISTORICAL FS'!F63</f>
        <v>151.5</v>
      </c>
      <c r="G2572">
        <f>-'HISTORICAL FS'!G63</f>
        <v>193.3</v>
      </c>
      <c r="H2572">
        <f>-'HISTORICAL FS'!H63</f>
        <v>242.6</v>
      </c>
      <c r="I2572">
        <f>-'HISTORICAL FS'!I63</f>
        <v>233.1</v>
      </c>
      <c r="J2572">
        <v>265</v>
      </c>
      <c r="K2572" s="100">
        <f>K2570*K2576</f>
        <v>313.60865357316965</v>
      </c>
      <c r="L2572" s="100">
        <f>L2570*L2576</f>
        <v>345.71360959951028</v>
      </c>
      <c r="M2572" s="100">
        <f>M2570*M2576</f>
        <v>364.28248440249348</v>
      </c>
      <c r="N2572" s="100">
        <f>N2570*N2576</f>
        <v>387.27993408667857</v>
      </c>
    </row>
    <row r="2573" spans="3:14" x14ac:dyDescent="0.3">
      <c r="C2573" t="s">
        <v>1057</v>
      </c>
      <c r="E2573">
        <f>E2560</f>
        <v>-13</v>
      </c>
      <c r="F2573">
        <f>F2560</f>
        <v>-12.9</v>
      </c>
      <c r="G2573">
        <f>G2560</f>
        <v>-8.6</v>
      </c>
      <c r="H2573">
        <f>H2560</f>
        <v>9.3000000000000007</v>
      </c>
      <c r="I2573">
        <f>I2560</f>
        <v>-9.1999999999999993</v>
      </c>
    </row>
    <row r="2576" spans="3:14" x14ac:dyDescent="0.3">
      <c r="C2576" t="s">
        <v>1066</v>
      </c>
      <c r="E2576" s="71">
        <f t="shared" ref="E2576:J2576" si="37">E2572/E2570</f>
        <v>0.86057692307692313</v>
      </c>
      <c r="F2576" s="71">
        <f t="shared" si="37"/>
        <v>0.95523329129886514</v>
      </c>
      <c r="G2576" s="71">
        <f t="shared" si="37"/>
        <v>0.89781699953553185</v>
      </c>
      <c r="H2576" s="71">
        <f t="shared" si="37"/>
        <v>0.99507793273174727</v>
      </c>
      <c r="I2576" s="71">
        <f t="shared" si="37"/>
        <v>0.79124236252545821</v>
      </c>
      <c r="J2576" s="71">
        <f t="shared" si="37"/>
        <v>0.78782673298174388</v>
      </c>
      <c r="K2576" s="71">
        <f>AVERAGE(E2576:J2576)</f>
        <v>0.88129570702504489</v>
      </c>
      <c r="L2576" s="71">
        <f>AVERAGE(F2576:K2576)</f>
        <v>0.88474883768306523</v>
      </c>
      <c r="M2576" s="71">
        <f>AVERAGE(G2576:L2576)</f>
        <v>0.87300142874709852</v>
      </c>
      <c r="N2576" s="71">
        <f>AVERAGE(H2576:M2576)</f>
        <v>0.86886550028235965</v>
      </c>
    </row>
    <row r="2577" spans="3:14" x14ac:dyDescent="0.3">
      <c r="C2577" t="s">
        <v>1065</v>
      </c>
      <c r="F2577" s="60">
        <f>F2572/E2572-1</f>
        <v>0.20909816440542706</v>
      </c>
      <c r="G2577" s="60">
        <f>G2572/F2572-1</f>
        <v>0.275907590759076</v>
      </c>
      <c r="H2577" s="60">
        <f>H2572/G2572-1</f>
        <v>0.25504397309881011</v>
      </c>
      <c r="I2577" s="60">
        <f>I2572/H2572-1</f>
        <v>-3.9159109645507062E-2</v>
      </c>
      <c r="J2577" s="60">
        <f>J2572/I2572-1</f>
        <v>0.13685113685113692</v>
      </c>
      <c r="K2577" s="60"/>
    </row>
    <row r="2578" spans="3:14" x14ac:dyDescent="0.3">
      <c r="C2578" t="s">
        <v>1063</v>
      </c>
      <c r="F2578" s="60">
        <f t="shared" ref="F2578:N2578" si="38">F2570/E2570-1</f>
        <v>8.9285714285714191E-2</v>
      </c>
      <c r="G2578" s="60">
        <f t="shared" si="38"/>
        <v>0.35750315258512</v>
      </c>
      <c r="H2578" s="60">
        <f t="shared" si="38"/>
        <v>0.13237343241987931</v>
      </c>
      <c r="I2578" s="60">
        <f t="shared" si="38"/>
        <v>0.20836751435602952</v>
      </c>
      <c r="J2578" s="60">
        <f t="shared" si="38"/>
        <v>0.14177996468506615</v>
      </c>
      <c r="K2578" s="60">
        <f t="shared" si="38"/>
        <v>5.7916090960325572E-2</v>
      </c>
      <c r="L2578" s="60">
        <f t="shared" si="38"/>
        <v>9.8070166981116591E-2</v>
      </c>
      <c r="M2578" s="60">
        <f t="shared" si="38"/>
        <v>6.7890835529805127E-2</v>
      </c>
      <c r="N2578" s="60">
        <f t="shared" si="38"/>
        <v>6.8191473903304267E-2</v>
      </c>
    </row>
    <row r="2581" spans="3:14" x14ac:dyDescent="0.3">
      <c r="J2581">
        <f>265/336</f>
        <v>0.78869047619047616</v>
      </c>
    </row>
    <row r="2582" spans="3:14" x14ac:dyDescent="0.3">
      <c r="C2582" t="s">
        <v>1067</v>
      </c>
      <c r="I2582" s="10">
        <v>0.95199999999999996</v>
      </c>
      <c r="J2582">
        <v>265</v>
      </c>
      <c r="K2582">
        <v>283</v>
      </c>
    </row>
    <row r="2583" spans="3:14" x14ac:dyDescent="0.3">
      <c r="C2583" t="s">
        <v>1069</v>
      </c>
      <c r="I2583" s="10">
        <v>4.8000000000000001E-2</v>
      </c>
    </row>
    <row r="2584" spans="3:14" x14ac:dyDescent="0.3">
      <c r="C2584" t="s">
        <v>113</v>
      </c>
      <c r="I2584" s="10"/>
      <c r="J2584">
        <f>J2582/$I$2582</f>
        <v>278.36134453781511</v>
      </c>
      <c r="K2584">
        <f>K2582/$I$2582</f>
        <v>297.26890756302521</v>
      </c>
      <c r="L2584">
        <f>L2582/$I$2582</f>
        <v>0</v>
      </c>
    </row>
    <row r="2585" spans="3:14" x14ac:dyDescent="0.3">
      <c r="C2585" t="s">
        <v>1068</v>
      </c>
      <c r="J2585" s="11">
        <v>0.25</v>
      </c>
    </row>
    <row r="2587" spans="3:14" x14ac:dyDescent="0.3">
      <c r="C2587" t="s">
        <v>1070</v>
      </c>
      <c r="J2587">
        <f>J2584/J2585</f>
        <v>1113.4453781512605</v>
      </c>
    </row>
    <row r="2592" spans="3:14" x14ac:dyDescent="0.3">
      <c r="C2592" s="2" t="s">
        <v>1073</v>
      </c>
    </row>
    <row r="2594" spans="2:15" x14ac:dyDescent="0.3">
      <c r="B2594" t="s">
        <v>1077</v>
      </c>
    </row>
    <row r="2595" spans="2:15" x14ac:dyDescent="0.3">
      <c r="C2595" t="s">
        <v>1071</v>
      </c>
      <c r="E2595">
        <v>184</v>
      </c>
      <c r="F2595">
        <v>206</v>
      </c>
      <c r="G2595">
        <v>167</v>
      </c>
      <c r="H2595">
        <v>151</v>
      </c>
      <c r="I2595">
        <v>168</v>
      </c>
    </row>
    <row r="2596" spans="2:15" x14ac:dyDescent="0.3">
      <c r="C2596" t="s">
        <v>1072</v>
      </c>
      <c r="F2596">
        <v>3.4</v>
      </c>
      <c r="G2596">
        <v>9</v>
      </c>
      <c r="I2596">
        <v>3</v>
      </c>
    </row>
    <row r="2597" spans="2:15" x14ac:dyDescent="0.3">
      <c r="C2597" t="s">
        <v>1074</v>
      </c>
      <c r="F2597">
        <v>7.4</v>
      </c>
      <c r="G2597">
        <v>23</v>
      </c>
      <c r="I2597">
        <v>5</v>
      </c>
    </row>
    <row r="2598" spans="2:15" x14ac:dyDescent="0.3">
      <c r="C2598" t="s">
        <v>1078</v>
      </c>
      <c r="F2598">
        <v>31.1</v>
      </c>
      <c r="G2598">
        <v>14</v>
      </c>
    </row>
    <row r="2599" spans="2:15" x14ac:dyDescent="0.3">
      <c r="C2599" t="s">
        <v>1075</v>
      </c>
      <c r="E2599">
        <v>-4.4000000000000004</v>
      </c>
      <c r="F2599">
        <v>-1.1000000000000001</v>
      </c>
      <c r="G2599">
        <v>-23.9</v>
      </c>
      <c r="H2599">
        <v>6.4</v>
      </c>
      <c r="I2599">
        <v>-4.2</v>
      </c>
    </row>
    <row r="2600" spans="2:15" x14ac:dyDescent="0.3">
      <c r="C2600" t="s">
        <v>1076</v>
      </c>
      <c r="E2600">
        <f>SUM(E2595:E2599)</f>
        <v>179.6</v>
      </c>
      <c r="F2600">
        <f>SUM(F2595:F2599)</f>
        <v>246.8</v>
      </c>
      <c r="G2600">
        <f>SUM(G2595:G2599)</f>
        <v>189.1</v>
      </c>
      <c r="H2600">
        <f>SUM(H2595:H2599)</f>
        <v>157.4</v>
      </c>
      <c r="I2600">
        <f>SUM(I2595:I2599)</f>
        <v>171.8</v>
      </c>
    </row>
    <row r="2602" spans="2:15" x14ac:dyDescent="0.3">
      <c r="E2602">
        <v>261.89999999999998</v>
      </c>
      <c r="F2602">
        <v>248.1</v>
      </c>
      <c r="G2602">
        <v>203.6</v>
      </c>
      <c r="H2602">
        <v>151</v>
      </c>
      <c r="I2602">
        <v>176.4</v>
      </c>
    </row>
    <row r="2603" spans="2:15" x14ac:dyDescent="0.3">
      <c r="E2603">
        <f>E2599</f>
        <v>-4.4000000000000004</v>
      </c>
      <c r="F2603">
        <f>F2599</f>
        <v>-1.1000000000000001</v>
      </c>
    </row>
    <row r="2604" spans="2:15" x14ac:dyDescent="0.3">
      <c r="E2604">
        <f>SUM(E2602:E2603)</f>
        <v>257.5</v>
      </c>
      <c r="F2604">
        <f>SUM(F2602:F2603)</f>
        <v>247</v>
      </c>
    </row>
    <row r="2606" spans="2:15" x14ac:dyDescent="0.3">
      <c r="C2606" s="2" t="s">
        <v>1079</v>
      </c>
      <c r="E2606" s="60">
        <f>-E1681/'HISTORICAL FS'!E12</f>
        <v>3.9776043580708624E-2</v>
      </c>
      <c r="F2606" s="60">
        <f>-F1681/'HISTORICAL FS'!F12</f>
        <v>4.0921732220897893E-2</v>
      </c>
      <c r="G2606" s="60">
        <f>-G1681/'HISTORICAL FS'!G12</f>
        <v>3.0413403751593515E-2</v>
      </c>
      <c r="H2606" s="60">
        <f>-H1681/'HISTORICAL FS'!H12</f>
        <v>2.4680864974420163E-2</v>
      </c>
      <c r="I2606" s="60">
        <f>-I1681/'HISTORICAL FS'!I12</f>
        <v>2.4343239679480676E-2</v>
      </c>
      <c r="J2606" s="60">
        <f>J1681/'MODEL&amp;SCHEDULE'!J17</f>
        <v>3.2574167393285926E-2</v>
      </c>
      <c r="K2606" s="60">
        <f>K1681/'MODEL&amp;SCHEDULE'!K17</f>
        <v>3.0809000439278502E-2</v>
      </c>
      <c r="L2606" s="60">
        <f>L1681/'MODEL&amp;SCHEDULE'!L17</f>
        <v>2.4929906658816864E-2</v>
      </c>
      <c r="M2606" s="90">
        <f>AVERAGE(E2606:L2606)</f>
        <v>3.1056044837310271E-2</v>
      </c>
      <c r="N2606" s="90">
        <f>AVERAGE(I2606:M2606)</f>
        <v>2.8742471801634452E-2</v>
      </c>
      <c r="O2606" s="90">
        <f>AVERAGE(J2606:N2606)</f>
        <v>2.9622318226065203E-2</v>
      </c>
    </row>
    <row r="2607" spans="2:15" x14ac:dyDescent="0.3">
      <c r="C2607" s="2" t="s">
        <v>1080</v>
      </c>
    </row>
    <row r="2608" spans="2:15" x14ac:dyDescent="0.3">
      <c r="C2608" t="s">
        <v>1081</v>
      </c>
    </row>
    <row r="2611" spans="3:14" x14ac:dyDescent="0.3">
      <c r="C2611" t="s">
        <v>1082</v>
      </c>
      <c r="F2611" s="60">
        <f>F1699/E958</f>
        <v>0.16719347862252537</v>
      </c>
      <c r="G2611" s="60">
        <f>G1699/F958</f>
        <v>0.14717741935483872</v>
      </c>
      <c r="H2611" s="60">
        <f>H1699/G958</f>
        <v>0.16654545454545455</v>
      </c>
      <c r="I2611" s="60">
        <f>I1699/H958</f>
        <v>0.17016317016317017</v>
      </c>
      <c r="J2611" s="90">
        <f t="shared" ref="J2611:N2612" si="39">AVERAGE(F2611:I2611)</f>
        <v>0.1627698806714972</v>
      </c>
      <c r="K2611" s="90">
        <f t="shared" si="39"/>
        <v>0.16166398118374017</v>
      </c>
      <c r="L2611" s="90">
        <f t="shared" si="39"/>
        <v>0.16528562164096552</v>
      </c>
      <c r="M2611" s="90">
        <f t="shared" si="39"/>
        <v>0.16497066341484326</v>
      </c>
      <c r="N2611" s="90">
        <f t="shared" si="39"/>
        <v>0.16367253672776153</v>
      </c>
    </row>
    <row r="2612" spans="3:14" x14ac:dyDescent="0.3">
      <c r="C2612" t="s">
        <v>1083</v>
      </c>
      <c r="F2612" s="60">
        <f>F1922/E960</f>
        <v>0.1683617587232045</v>
      </c>
      <c r="G2612" s="60">
        <f>G1922/F960</f>
        <v>0.17779456193353474</v>
      </c>
      <c r="H2612" s="60">
        <f>H1922/G960</f>
        <v>0.19684181867683093</v>
      </c>
      <c r="I2612" s="60">
        <f>I1922/H960</f>
        <v>0.20846331208463312</v>
      </c>
      <c r="J2612" s="90">
        <f t="shared" si="39"/>
        <v>0.1878653628545508</v>
      </c>
      <c r="K2612" s="90">
        <f t="shared" si="39"/>
        <v>0.19274126388738738</v>
      </c>
      <c r="L2612" s="90">
        <f t="shared" si="39"/>
        <v>0.19647793937585056</v>
      </c>
      <c r="M2612" s="90">
        <f t="shared" si="39"/>
        <v>0.19638696955060544</v>
      </c>
      <c r="N2612" s="90">
        <f t="shared" si="39"/>
        <v>0.19336788391709855</v>
      </c>
    </row>
    <row r="2614" spans="3:14" x14ac:dyDescent="0.3">
      <c r="C2614" s="2" t="s">
        <v>281</v>
      </c>
    </row>
    <row r="2615" spans="3:14" x14ac:dyDescent="0.3">
      <c r="C2615" t="str">
        <f>C1927</f>
        <v>Amortisation and impairment of intangible assets excluding software</v>
      </c>
      <c r="G2615">
        <f t="shared" ref="G2615:I2616" si="40">G1927</f>
        <v>8.3000000000000007</v>
      </c>
      <c r="H2615">
        <f t="shared" si="40"/>
        <v>22.6</v>
      </c>
      <c r="I2615">
        <f t="shared" si="40"/>
        <v>22.8</v>
      </c>
    </row>
    <row r="2616" spans="3:14" x14ac:dyDescent="0.3">
      <c r="C2616" t="str">
        <f>C1928</f>
        <v>Amortisation and impairment and loss on software</v>
      </c>
      <c r="G2616">
        <f t="shared" si="40"/>
        <v>30.1</v>
      </c>
      <c r="H2616">
        <f t="shared" si="40"/>
        <v>32.6</v>
      </c>
      <c r="I2616">
        <f t="shared" si="40"/>
        <v>36.299999999999997</v>
      </c>
    </row>
    <row r="2617" spans="3:14" x14ac:dyDescent="0.3">
      <c r="C2617" t="str">
        <f>C1929</f>
        <v>Amortisation and impairment of intangible assets</v>
      </c>
      <c r="E2617" s="2">
        <f>E1929</f>
        <v>4.3</v>
      </c>
      <c r="F2617" s="2">
        <f>F1929</f>
        <v>12.5</v>
      </c>
      <c r="G2617" s="2">
        <f>SUM(G2615:G2616)</f>
        <v>38.400000000000006</v>
      </c>
      <c r="H2617" s="2">
        <f>SUM(H2615:H2616)</f>
        <v>55.2</v>
      </c>
      <c r="I2617" s="2">
        <f>SUM(I2615:I2616)</f>
        <v>59.099999999999994</v>
      </c>
    </row>
    <row r="2620" spans="3:14" x14ac:dyDescent="0.3">
      <c r="C2620" t="str">
        <f>C2180</f>
        <v>Amortisation</v>
      </c>
    </row>
    <row r="2621" spans="3:14" x14ac:dyDescent="0.3">
      <c r="C2621" t="str">
        <f>C2181</f>
        <v>Goodwill</v>
      </c>
      <c r="E2621">
        <f t="shared" ref="E2621:I2623" si="41">E2181</f>
        <v>0</v>
      </c>
      <c r="F2621">
        <f t="shared" si="41"/>
        <v>0</v>
      </c>
      <c r="G2621">
        <f t="shared" si="41"/>
        <v>0</v>
      </c>
      <c r="H2621">
        <f t="shared" si="41"/>
        <v>0</v>
      </c>
      <c r="I2621">
        <f t="shared" si="41"/>
        <v>0</v>
      </c>
    </row>
    <row r="2622" spans="3:14" x14ac:dyDescent="0.3">
      <c r="C2622" t="str">
        <f>C2182</f>
        <v>Brand names and Trademarks</v>
      </c>
      <c r="E2622">
        <f t="shared" si="41"/>
        <v>0.1</v>
      </c>
      <c r="F2622">
        <f t="shared" si="41"/>
        <v>0.4</v>
      </c>
      <c r="G2622">
        <f t="shared" si="41"/>
        <v>7.6</v>
      </c>
      <c r="H2622">
        <f t="shared" si="41"/>
        <v>20.5</v>
      </c>
      <c r="I2622">
        <f t="shared" si="41"/>
        <v>20.8</v>
      </c>
    </row>
    <row r="2623" spans="3:14" x14ac:dyDescent="0.3">
      <c r="C2623" t="str">
        <f>C2183</f>
        <v>Customer Relationships</v>
      </c>
      <c r="E2623">
        <f t="shared" si="41"/>
        <v>0</v>
      </c>
      <c r="F2623">
        <f t="shared" si="41"/>
        <v>0</v>
      </c>
      <c r="G2623">
        <f t="shared" si="41"/>
        <v>0.6</v>
      </c>
      <c r="H2623">
        <f t="shared" si="41"/>
        <v>2.1</v>
      </c>
      <c r="I2623">
        <f t="shared" si="41"/>
        <v>2</v>
      </c>
    </row>
    <row r="2624" spans="3:14" x14ac:dyDescent="0.3">
      <c r="E2624" s="46">
        <f>SUM(E2621:E2623)</f>
        <v>0.1</v>
      </c>
      <c r="F2624" s="46">
        <f>SUM(F2621:F2623)</f>
        <v>0.4</v>
      </c>
      <c r="G2624" s="46">
        <f>SUM(G2621:G2623)</f>
        <v>8.1999999999999993</v>
      </c>
      <c r="H2624" s="46">
        <f>SUM(H2621:H2623)</f>
        <v>22.6</v>
      </c>
      <c r="I2624" s="46">
        <f>SUM(I2621:I2623)</f>
        <v>22.8</v>
      </c>
    </row>
    <row r="2625" spans="3:9" x14ac:dyDescent="0.3">
      <c r="C2625" t="str">
        <f>C2185</f>
        <v>Software</v>
      </c>
      <c r="E2625">
        <f t="shared" ref="E2625:I2626" si="42">E2185</f>
        <v>3.1</v>
      </c>
      <c r="F2625">
        <f t="shared" si="42"/>
        <v>11.5</v>
      </c>
      <c r="G2625">
        <f t="shared" si="42"/>
        <v>28</v>
      </c>
      <c r="H2625">
        <f t="shared" si="42"/>
        <v>29.8</v>
      </c>
      <c r="I2625">
        <f t="shared" si="42"/>
        <v>32</v>
      </c>
    </row>
    <row r="2626" spans="3:9" x14ac:dyDescent="0.3">
      <c r="C2626" t="str">
        <f>C2186</f>
        <v>Software under construction</v>
      </c>
      <c r="E2626">
        <f t="shared" si="42"/>
        <v>0</v>
      </c>
      <c r="F2626">
        <f t="shared" si="42"/>
        <v>0</v>
      </c>
      <c r="G2626">
        <f t="shared" si="42"/>
        <v>0</v>
      </c>
      <c r="H2626">
        <f t="shared" si="42"/>
        <v>0</v>
      </c>
      <c r="I2626">
        <f t="shared" si="42"/>
        <v>0</v>
      </c>
    </row>
    <row r="2627" spans="3:9" x14ac:dyDescent="0.3">
      <c r="C2627" t="str">
        <f>C2187</f>
        <v xml:space="preserve">Total </v>
      </c>
      <c r="E2627" s="47">
        <f>SUM(E2624:E2626)</f>
        <v>3.2</v>
      </c>
      <c r="F2627" s="47">
        <f>SUM(F2624:F2626)</f>
        <v>11.9</v>
      </c>
      <c r="G2627" s="47">
        <f>SUM(G2624:G2626)</f>
        <v>36.200000000000003</v>
      </c>
      <c r="H2627" s="47">
        <f>SUM(H2624:H2626)</f>
        <v>52.400000000000006</v>
      </c>
      <c r="I2627" s="47">
        <f>SUM(I2624:I2626)</f>
        <v>54.8</v>
      </c>
    </row>
    <row r="2629" spans="3:9" x14ac:dyDescent="0.3">
      <c r="C2629" s="2" t="str">
        <f>C2200</f>
        <v>Impairment charge/ (reversal-negative)</v>
      </c>
    </row>
    <row r="2630" spans="3:9" x14ac:dyDescent="0.3">
      <c r="C2630" t="str">
        <f>C2201</f>
        <v>Goodwill</v>
      </c>
      <c r="E2630">
        <f t="shared" ref="E2630:I2632" si="43">E2201</f>
        <v>0.2</v>
      </c>
      <c r="F2630">
        <f t="shared" si="43"/>
        <v>0</v>
      </c>
      <c r="G2630">
        <f t="shared" si="43"/>
        <v>0</v>
      </c>
      <c r="H2630">
        <f t="shared" si="43"/>
        <v>0</v>
      </c>
      <c r="I2630">
        <f t="shared" si="43"/>
        <v>0</v>
      </c>
    </row>
    <row r="2631" spans="3:9" x14ac:dyDescent="0.3">
      <c r="C2631" t="str">
        <f>C2202</f>
        <v>Brand names and Trademarks</v>
      </c>
      <c r="E2631">
        <f t="shared" si="43"/>
        <v>0</v>
      </c>
      <c r="F2631">
        <f t="shared" si="43"/>
        <v>0</v>
      </c>
      <c r="G2631">
        <f t="shared" si="43"/>
        <v>0</v>
      </c>
      <c r="H2631">
        <f t="shared" si="43"/>
        <v>0</v>
      </c>
      <c r="I2631">
        <f t="shared" si="43"/>
        <v>0</v>
      </c>
    </row>
    <row r="2632" spans="3:9" x14ac:dyDescent="0.3">
      <c r="C2632" t="str">
        <f>C2203</f>
        <v>Customer Relationships</v>
      </c>
      <c r="E2632">
        <f t="shared" si="43"/>
        <v>0</v>
      </c>
      <c r="F2632">
        <f t="shared" si="43"/>
        <v>0</v>
      </c>
      <c r="G2632">
        <f t="shared" si="43"/>
        <v>0</v>
      </c>
      <c r="H2632">
        <f t="shared" si="43"/>
        <v>0</v>
      </c>
      <c r="I2632">
        <f t="shared" si="43"/>
        <v>0</v>
      </c>
    </row>
    <row r="2633" spans="3:9" x14ac:dyDescent="0.3">
      <c r="E2633" s="46">
        <f>SUM(E2630:E2632)</f>
        <v>0.2</v>
      </c>
      <c r="F2633" s="46">
        <f>SUM(F2630:F2632)</f>
        <v>0</v>
      </c>
      <c r="G2633" s="46">
        <f>SUM(G2630:G2632)</f>
        <v>0</v>
      </c>
      <c r="H2633" s="46">
        <f>SUM(H2630:H2632)</f>
        <v>0</v>
      </c>
      <c r="I2633" s="46">
        <f>SUM(I2630:I2632)</f>
        <v>0</v>
      </c>
    </row>
    <row r="2634" spans="3:9" x14ac:dyDescent="0.3">
      <c r="C2634" t="str">
        <f>C2205</f>
        <v>Software</v>
      </c>
      <c r="E2634">
        <f t="shared" ref="E2634:I2635" si="44">E2205</f>
        <v>0.5</v>
      </c>
      <c r="F2634">
        <f t="shared" si="44"/>
        <v>0.6</v>
      </c>
      <c r="G2634">
        <f t="shared" si="44"/>
        <v>1.3</v>
      </c>
      <c r="H2634">
        <f t="shared" si="44"/>
        <v>0</v>
      </c>
      <c r="I2634">
        <f t="shared" si="44"/>
        <v>3.8</v>
      </c>
    </row>
    <row r="2635" spans="3:9" x14ac:dyDescent="0.3">
      <c r="C2635" t="str">
        <f>C2206</f>
        <v>Software under construction</v>
      </c>
      <c r="E2635">
        <f t="shared" si="44"/>
        <v>0</v>
      </c>
      <c r="F2635">
        <f t="shared" si="44"/>
        <v>0</v>
      </c>
      <c r="G2635">
        <f t="shared" si="44"/>
        <v>0</v>
      </c>
      <c r="H2635">
        <f t="shared" si="44"/>
        <v>0</v>
      </c>
      <c r="I2635">
        <f t="shared" si="44"/>
        <v>0</v>
      </c>
    </row>
    <row r="2636" spans="3:9" x14ac:dyDescent="0.3">
      <c r="C2636" t="str">
        <f>C2207</f>
        <v xml:space="preserve">Total </v>
      </c>
      <c r="E2636" s="47">
        <f>SUM(E2633:E2635)</f>
        <v>0.7</v>
      </c>
      <c r="F2636" s="47">
        <f>SUM(F2633:F2635)</f>
        <v>0.6</v>
      </c>
      <c r="G2636" s="47">
        <f>SUM(G2633:G2635)</f>
        <v>1.3</v>
      </c>
      <c r="H2636" s="47">
        <f>SUM(H2633:H2635)</f>
        <v>0</v>
      </c>
      <c r="I2636" s="47">
        <f>SUM(I2633:I2635)</f>
        <v>3.8</v>
      </c>
    </row>
    <row r="2639" spans="3:9" x14ac:dyDescent="0.3">
      <c r="C2639" t="str">
        <f>C2615</f>
        <v>Amortisation and impairment of intangible assets excluding software</v>
      </c>
      <c r="E2639">
        <f>E2624+E2633</f>
        <v>0.30000000000000004</v>
      </c>
      <c r="F2639">
        <f>F2624+F2633</f>
        <v>0.4</v>
      </c>
      <c r="G2639">
        <f>G2624+G2633</f>
        <v>8.1999999999999993</v>
      </c>
      <c r="H2639">
        <f>H2624+H2633</f>
        <v>22.6</v>
      </c>
      <c r="I2639">
        <f>I2624+I2633</f>
        <v>22.8</v>
      </c>
    </row>
    <row r="2640" spans="3:9" x14ac:dyDescent="0.3">
      <c r="C2640" t="str">
        <f>C2616</f>
        <v>Amortisation and impairment and loss on software</v>
      </c>
      <c r="E2640">
        <f>(E2625+E2626)+(E2634+E2635)</f>
        <v>3.6</v>
      </c>
      <c r="F2640">
        <f>(F2625+F2626)+(F2634+F2635)</f>
        <v>12.1</v>
      </c>
      <c r="G2640">
        <f>(G2625+G2626)+(G2634+G2635)</f>
        <v>29.3</v>
      </c>
      <c r="H2640">
        <f>(H2625+H2626)+(H2634+H2635)</f>
        <v>29.8</v>
      </c>
      <c r="I2640">
        <f>(I2625+I2626)+(I2634+I2635)</f>
        <v>35.799999999999997</v>
      </c>
    </row>
    <row r="2642" spans="3:10" x14ac:dyDescent="0.3">
      <c r="C2642" t="s">
        <v>1088</v>
      </c>
      <c r="E2642">
        <f>E2650+E2625</f>
        <v>3.1</v>
      </c>
      <c r="F2642">
        <f>F2650+F2625</f>
        <v>11.9</v>
      </c>
      <c r="G2642">
        <f>G2650+G2625</f>
        <v>36.299999999999997</v>
      </c>
      <c r="H2642">
        <f>H2650+H2625</f>
        <v>52.400000000000006</v>
      </c>
      <c r="I2642">
        <f>I2650+I2625</f>
        <v>54.8</v>
      </c>
    </row>
    <row r="2645" spans="3:10" x14ac:dyDescent="0.3">
      <c r="C2645" t="str">
        <f t="shared" ref="C2645:C2652" si="45">C1783</f>
        <v>Depreciation on property, plant and equipment</v>
      </c>
      <c r="E2645">
        <f t="shared" ref="E2645:I2651" si="46">E1783</f>
        <v>103.7</v>
      </c>
      <c r="F2645">
        <f t="shared" si="46"/>
        <v>100.5</v>
      </c>
      <c r="G2645">
        <f t="shared" si="46"/>
        <v>94.9</v>
      </c>
      <c r="H2645">
        <f t="shared" si="46"/>
        <v>114.5</v>
      </c>
      <c r="I2645">
        <f t="shared" si="46"/>
        <v>116.8</v>
      </c>
      <c r="J2645">
        <f>J2676*I958</f>
        <v>108.68144932435868</v>
      </c>
    </row>
    <row r="2646" spans="3:10" x14ac:dyDescent="0.3">
      <c r="C2646" t="str">
        <f t="shared" si="45"/>
        <v>Depreciation on right-of-use assets</v>
      </c>
      <c r="E2646">
        <f t="shared" si="46"/>
        <v>113.8</v>
      </c>
      <c r="F2646">
        <f t="shared" si="46"/>
        <v>107.6</v>
      </c>
      <c r="G2646">
        <f t="shared" si="46"/>
        <v>117.7</v>
      </c>
      <c r="H2646">
        <f t="shared" si="46"/>
        <v>144.6</v>
      </c>
      <c r="I2646">
        <f t="shared" si="46"/>
        <v>153.69999999999999</v>
      </c>
      <c r="J2646">
        <f>J2677*I960</f>
        <v>137.72409750867121</v>
      </c>
    </row>
    <row r="2647" spans="3:10" x14ac:dyDescent="0.3">
      <c r="C2647" t="str">
        <f t="shared" si="45"/>
        <v>Loss on disposal of property, plant and equipment</v>
      </c>
      <c r="E2647">
        <f t="shared" si="46"/>
        <v>3.1</v>
      </c>
      <c r="F2647">
        <f t="shared" si="46"/>
        <v>0.5</v>
      </c>
      <c r="G2647">
        <f t="shared" si="46"/>
        <v>0.7</v>
      </c>
      <c r="H2647">
        <f t="shared" si="46"/>
        <v>0</v>
      </c>
      <c r="I2647">
        <f t="shared" si="46"/>
        <v>2.1</v>
      </c>
    </row>
    <row r="2648" spans="3:10" x14ac:dyDescent="0.3">
      <c r="C2648" t="str">
        <f t="shared" si="45"/>
        <v>net  charge/ Reversal of impairment on property, plant and equipment</v>
      </c>
      <c r="E2648">
        <f t="shared" si="46"/>
        <v>-3.1</v>
      </c>
      <c r="F2648">
        <f t="shared" si="46"/>
        <v>-2.7</v>
      </c>
      <c r="G2648">
        <f t="shared" si="46"/>
        <v>1.7</v>
      </c>
      <c r="H2648">
        <f t="shared" si="46"/>
        <v>3.4</v>
      </c>
      <c r="I2648">
        <f t="shared" si="46"/>
        <v>0.3</v>
      </c>
    </row>
    <row r="2649" spans="3:10" x14ac:dyDescent="0.3">
      <c r="C2649" t="str">
        <f t="shared" si="45"/>
        <v>Net charge/ Reversal of impairment on right-of-use assets</v>
      </c>
      <c r="E2649">
        <f t="shared" si="46"/>
        <v>-1.2</v>
      </c>
      <c r="F2649">
        <f t="shared" si="46"/>
        <v>-34.9</v>
      </c>
      <c r="G2649">
        <f t="shared" si="46"/>
        <v>-5.9</v>
      </c>
      <c r="H2649">
        <f t="shared" si="46"/>
        <v>-1.7</v>
      </c>
      <c r="I2649">
        <f t="shared" si="46"/>
        <v>3.8</v>
      </c>
    </row>
    <row r="2650" spans="3:10" x14ac:dyDescent="0.3">
      <c r="C2650" t="str">
        <f t="shared" si="45"/>
        <v>Amortisation of intangible assets excluding software</v>
      </c>
      <c r="E2650">
        <f t="shared" si="46"/>
        <v>0</v>
      </c>
      <c r="F2650">
        <f t="shared" si="46"/>
        <v>0.4</v>
      </c>
      <c r="G2650">
        <f t="shared" si="46"/>
        <v>8.3000000000000007</v>
      </c>
      <c r="H2650">
        <f t="shared" si="46"/>
        <v>22.6</v>
      </c>
      <c r="I2650">
        <f t="shared" si="46"/>
        <v>22.8</v>
      </c>
      <c r="J2650">
        <f>J2684*I2174</f>
        <v>32.408245973933163</v>
      </c>
    </row>
    <row r="2651" spans="3:10" x14ac:dyDescent="0.3">
      <c r="C2651" t="str">
        <f t="shared" si="45"/>
        <v>Amortisation, impairment and loss on disposal of software</v>
      </c>
      <c r="E2651">
        <f t="shared" si="46"/>
        <v>4.3</v>
      </c>
      <c r="F2651">
        <f t="shared" si="46"/>
        <v>12.1</v>
      </c>
      <c r="G2651">
        <f t="shared" si="46"/>
        <v>30.1</v>
      </c>
      <c r="H2651">
        <f t="shared" si="46"/>
        <v>32.6</v>
      </c>
      <c r="I2651">
        <f t="shared" si="46"/>
        <v>36.299999999999997</v>
      </c>
    </row>
    <row r="2652" spans="3:10" x14ac:dyDescent="0.3">
      <c r="C2652" t="str">
        <f t="shared" si="45"/>
        <v>Amortisation and impairment of intangible assets</v>
      </c>
    </row>
    <row r="2653" spans="3:10" x14ac:dyDescent="0.3">
      <c r="C2653" t="str">
        <f>C1792</f>
        <v>Gain on sale and leasebacks</v>
      </c>
      <c r="E2653">
        <f>E1792</f>
        <v>-13.4</v>
      </c>
      <c r="F2653">
        <f>F1792</f>
        <v>-17.7</v>
      </c>
      <c r="G2653">
        <f>G1792</f>
        <v>-1.6</v>
      </c>
      <c r="H2653">
        <f>H1792</f>
        <v>0</v>
      </c>
      <c r="I2653">
        <f>I1792</f>
        <v>-16.3</v>
      </c>
    </row>
    <row r="2656" spans="3:10" x14ac:dyDescent="0.3">
      <c r="C2656" t="str">
        <f t="shared" ref="C2656:C2662" si="47">C1939</f>
        <v>Cash flows from operating activities</v>
      </c>
    </row>
    <row r="2657" spans="3:9" x14ac:dyDescent="0.3">
      <c r="C2657" t="str">
        <f t="shared" si="47"/>
        <v>Operating profit</v>
      </c>
      <c r="E2657">
        <f t="shared" ref="E2657:I2662" si="48">E1940</f>
        <v>905.4</v>
      </c>
      <c r="F2657">
        <f t="shared" si="48"/>
        <v>941.5</v>
      </c>
      <c r="G2657">
        <f t="shared" si="48"/>
        <v>987.9</v>
      </c>
      <c r="H2657">
        <f t="shared" si="48"/>
        <v>1075.4000000000001</v>
      </c>
      <c r="I2657">
        <f t="shared" si="48"/>
        <v>1278.8</v>
      </c>
    </row>
    <row r="2658" spans="3:9" x14ac:dyDescent="0.3">
      <c r="C2658" t="str">
        <f t="shared" si="47"/>
        <v>Profit on disposal of associate</v>
      </c>
      <c r="E2658">
        <f t="shared" si="48"/>
        <v>0</v>
      </c>
      <c r="F2658">
        <f t="shared" si="48"/>
        <v>0</v>
      </c>
      <c r="G2658">
        <f t="shared" si="48"/>
        <v>0</v>
      </c>
      <c r="H2658">
        <f t="shared" si="48"/>
        <v>0</v>
      </c>
      <c r="I2658">
        <f t="shared" si="48"/>
        <v>-16.3</v>
      </c>
    </row>
    <row r="2659" spans="3:9" x14ac:dyDescent="0.3">
      <c r="C2659" t="str">
        <f t="shared" si="47"/>
        <v>Depreciation, impairment and (profit)/loss on disposal of property, plant and equipment</v>
      </c>
      <c r="E2659">
        <f t="shared" si="48"/>
        <v>90.3</v>
      </c>
      <c r="F2659">
        <f t="shared" si="48"/>
        <v>80.599999999999994</v>
      </c>
      <c r="G2659">
        <f t="shared" si="48"/>
        <v>95.7</v>
      </c>
      <c r="H2659">
        <f t="shared" si="48"/>
        <v>117.9</v>
      </c>
      <c r="I2659">
        <f t="shared" si="48"/>
        <v>119.2</v>
      </c>
    </row>
    <row r="2660" spans="3:9" x14ac:dyDescent="0.3">
      <c r="C2660" t="str">
        <f t="shared" si="47"/>
        <v>Depreciation and impairment on right-of-use assets</v>
      </c>
      <c r="E2660">
        <f t="shared" si="48"/>
        <v>112.6</v>
      </c>
      <c r="F2660">
        <f t="shared" si="48"/>
        <v>72.7</v>
      </c>
      <c r="G2660">
        <f t="shared" si="48"/>
        <v>111.8</v>
      </c>
      <c r="H2660">
        <f t="shared" si="48"/>
        <v>137.9</v>
      </c>
      <c r="I2660">
        <f t="shared" si="48"/>
        <v>156.4</v>
      </c>
    </row>
    <row r="2661" spans="3:9" x14ac:dyDescent="0.3">
      <c r="C2661" t="str">
        <f t="shared" si="47"/>
        <v>Amortisation and impairment of intangible assets</v>
      </c>
      <c r="E2661">
        <f t="shared" si="48"/>
        <v>4.3</v>
      </c>
      <c r="F2661">
        <f t="shared" si="48"/>
        <v>12.5</v>
      </c>
      <c r="G2661">
        <f t="shared" si="48"/>
        <v>38.5</v>
      </c>
      <c r="H2661">
        <f t="shared" si="48"/>
        <v>55.2</v>
      </c>
      <c r="I2661">
        <f t="shared" si="48"/>
        <v>59.1</v>
      </c>
    </row>
    <row r="2662" spans="3:9" x14ac:dyDescent="0.3">
      <c r="C2662" t="str">
        <f t="shared" si="47"/>
        <v>Amortisation, impairemnt &amp; disposals of investments</v>
      </c>
      <c r="E2662">
        <f t="shared" si="48"/>
        <v>0</v>
      </c>
      <c r="F2662">
        <f t="shared" si="48"/>
        <v>1.1000000000000001</v>
      </c>
      <c r="G2662">
        <f t="shared" si="48"/>
        <v>0.8</v>
      </c>
      <c r="H2662">
        <f t="shared" si="48"/>
        <v>13.5</v>
      </c>
      <c r="I2662">
        <f t="shared" si="48"/>
        <v>5.6</v>
      </c>
    </row>
    <row r="2665" spans="3:9" x14ac:dyDescent="0.3">
      <c r="C2665" t="str">
        <f t="shared" ref="C2665:C2670" si="49">C2657</f>
        <v>Operating profit</v>
      </c>
    </row>
    <row r="2666" spans="3:9" x14ac:dyDescent="0.3">
      <c r="C2666" t="str">
        <f t="shared" si="49"/>
        <v>Profit on disposal of associate</v>
      </c>
    </row>
    <row r="2667" spans="3:9" x14ac:dyDescent="0.3">
      <c r="C2667" t="str">
        <f t="shared" si="49"/>
        <v>Depreciation, impairment and (profit)/loss on disposal of property, plant and equipment</v>
      </c>
      <c r="E2667">
        <f>E1783+E1785+E1786</f>
        <v>103.7</v>
      </c>
      <c r="F2667">
        <f>F1783+F1785+F1786</f>
        <v>98.3</v>
      </c>
      <c r="G2667">
        <f>G1783+G1785+G1786</f>
        <v>97.300000000000011</v>
      </c>
      <c r="H2667">
        <f>H1783+H1785+H1786</f>
        <v>117.9</v>
      </c>
      <c r="I2667">
        <f>I1783+I1785+I1786</f>
        <v>119.19999999999999</v>
      </c>
    </row>
    <row r="2668" spans="3:9" x14ac:dyDescent="0.3">
      <c r="C2668" t="str">
        <f t="shared" si="49"/>
        <v>Depreciation and impairment on right-of-use assets</v>
      </c>
      <c r="E2668">
        <f>E1784+E1787</f>
        <v>112.6</v>
      </c>
      <c r="F2668">
        <f>F1784+F1787</f>
        <v>72.699999999999989</v>
      </c>
      <c r="G2668">
        <f>G1784+G1787</f>
        <v>111.8</v>
      </c>
      <c r="H2668">
        <f>H1784+H1787</f>
        <v>142.9</v>
      </c>
      <c r="I2668">
        <f>I1784+I1787</f>
        <v>157.5</v>
      </c>
    </row>
    <row r="2669" spans="3:9" x14ac:dyDescent="0.3">
      <c r="C2669" t="str">
        <f t="shared" si="49"/>
        <v>Amortisation and impairment of intangible assets</v>
      </c>
      <c r="E2669">
        <f>E1788+E1789</f>
        <v>4.3</v>
      </c>
      <c r="F2669">
        <f>F1788+F1789</f>
        <v>12.5</v>
      </c>
      <c r="G2669">
        <f>G1788+G1789</f>
        <v>38.400000000000006</v>
      </c>
      <c r="H2669">
        <f>H1788+H1789</f>
        <v>55.2</v>
      </c>
      <c r="I2669">
        <f>I1788+I1789</f>
        <v>59.099999999999994</v>
      </c>
    </row>
    <row r="2670" spans="3:9" x14ac:dyDescent="0.3">
      <c r="C2670" t="str">
        <f t="shared" si="49"/>
        <v>Amortisation, impairemnt &amp; disposals of investments</v>
      </c>
    </row>
    <row r="2672" spans="3:9" x14ac:dyDescent="0.3">
      <c r="C2672" t="s">
        <v>1086</v>
      </c>
      <c r="E2672">
        <f>E2667+E1792</f>
        <v>90.3</v>
      </c>
      <c r="F2672">
        <f>F2667+F1792</f>
        <v>80.599999999999994</v>
      </c>
      <c r="G2672">
        <f>G2667+G1792</f>
        <v>95.700000000000017</v>
      </c>
      <c r="H2672">
        <f>H2667+H1792</f>
        <v>117.9</v>
      </c>
      <c r="I2672">
        <f>I2667+I1792</f>
        <v>102.89999999999999</v>
      </c>
    </row>
    <row r="2675" spans="3:11" x14ac:dyDescent="0.3">
      <c r="C2675" s="2" t="s">
        <v>279</v>
      </c>
    </row>
    <row r="2676" spans="3:11" x14ac:dyDescent="0.3">
      <c r="C2676" t="s">
        <v>1082</v>
      </c>
      <c r="F2676" s="60">
        <f>F2645/E958</f>
        <v>0.16719347862252537</v>
      </c>
      <c r="G2676" s="60">
        <f>G2645/F958</f>
        <v>0.14717741935483872</v>
      </c>
      <c r="H2676" s="60">
        <f>H2645/G958</f>
        <v>0.16654545454545455</v>
      </c>
      <c r="I2676" s="60">
        <f>I2645/H958</f>
        <v>0.17016317016317017</v>
      </c>
      <c r="J2676" s="90">
        <f>AVERAGE(F2676:I2676)</f>
        <v>0.1627698806714972</v>
      </c>
    </row>
    <row r="2677" spans="3:11" x14ac:dyDescent="0.3">
      <c r="C2677" t="s">
        <v>1083</v>
      </c>
      <c r="F2677" s="60">
        <f>F2646/E960</f>
        <v>0.1683617587232045</v>
      </c>
      <c r="G2677" s="60">
        <f>G2646/F960</f>
        <v>0.17779456193353474</v>
      </c>
      <c r="H2677" s="60">
        <f>H2646/G960</f>
        <v>0.19684181867683093</v>
      </c>
      <c r="I2677" s="60">
        <f>I2646/H960</f>
        <v>0.20846331208463312</v>
      </c>
      <c r="J2677" s="90">
        <f>AVERAGE(F2677:I2677)</f>
        <v>0.1878653628545508</v>
      </c>
    </row>
    <row r="2679" spans="3:11" x14ac:dyDescent="0.3">
      <c r="C2679" s="2" t="s">
        <v>281</v>
      </c>
    </row>
    <row r="2680" spans="3:11" x14ac:dyDescent="0.3">
      <c r="C2680" t="s">
        <v>1087</v>
      </c>
      <c r="F2680" s="60">
        <f>F2681/E959</f>
        <v>0.15006305170239598</v>
      </c>
      <c r="G2680" s="60">
        <f>G2681/F959</f>
        <v>0.26477024070021882</v>
      </c>
      <c r="H2680" s="60">
        <f>H2681/G959</f>
        <v>6.9202324352879027E-2</v>
      </c>
      <c r="I2680" s="60">
        <f>I2681/H959</f>
        <v>7.4517269513190099E-2</v>
      </c>
      <c r="J2680" s="90">
        <f>AVERAGE(F2680:I2680)</f>
        <v>0.13963822156717098</v>
      </c>
      <c r="K2680" s="90"/>
    </row>
    <row r="2681" spans="3:11" x14ac:dyDescent="0.3">
      <c r="C2681" t="str">
        <f>C2642</f>
        <v>amortisation including software</v>
      </c>
      <c r="E2681">
        <f>E2642</f>
        <v>3.1</v>
      </c>
      <c r="F2681">
        <f>F2642</f>
        <v>11.9</v>
      </c>
      <c r="G2681">
        <f>G2642</f>
        <v>36.299999999999997</v>
      </c>
      <c r="H2681">
        <f>H2642</f>
        <v>52.400000000000006</v>
      </c>
      <c r="I2681">
        <f>I2642</f>
        <v>54.8</v>
      </c>
    </row>
    <row r="2684" spans="3:11" x14ac:dyDescent="0.3">
      <c r="C2684" t="s">
        <v>1089</v>
      </c>
      <c r="F2684" s="60">
        <f>F2650/E2174</f>
        <v>9.0909090909090922E-3</v>
      </c>
      <c r="G2684" s="60">
        <f>G2650/F2174</f>
        <v>0.12633181126331811</v>
      </c>
      <c r="H2684" s="60">
        <f>H2650/G2174</f>
        <v>3.3551068883610452E-2</v>
      </c>
      <c r="I2684" s="60">
        <f>I2650/H2174</f>
        <v>3.4915773353751914E-2</v>
      </c>
      <c r="J2684" s="90">
        <f>AVERAGE(F2684:I2684)</f>
        <v>5.0972390647897395E-2</v>
      </c>
    </row>
    <row r="2685" spans="3:11" x14ac:dyDescent="0.3">
      <c r="C2685" t="s">
        <v>1090</v>
      </c>
      <c r="F2685" s="60">
        <f>F2185/(E2175+E2176)</f>
        <v>0.3257790368271955</v>
      </c>
      <c r="G2685" s="60">
        <f>G2185/(F2175+F2176)</f>
        <v>0.39215686274509803</v>
      </c>
      <c r="H2685" s="60">
        <f>H2185/(G2175+G2176)</f>
        <v>0.3564593301435407</v>
      </c>
      <c r="I2685" s="60">
        <f>I2185/(H2175+H2176)</f>
        <v>0.38834951456310679</v>
      </c>
      <c r="J2685" s="90">
        <f>AVERAGE(F2685:I2685)</f>
        <v>0.3656861860697353</v>
      </c>
    </row>
    <row r="2687" spans="3:11" x14ac:dyDescent="0.3">
      <c r="C2687" t="s">
        <v>1091</v>
      </c>
      <c r="J2687">
        <f>J2685*(I2175+I2176)</f>
        <v>28.486953894832382</v>
      </c>
    </row>
    <row r="2689" spans="3:12" x14ac:dyDescent="0.3">
      <c r="C2689" s="2" t="s">
        <v>657</v>
      </c>
    </row>
    <row r="2690" spans="3:12" x14ac:dyDescent="0.3">
      <c r="C2690" t="str">
        <f>C896</f>
        <v>purchase of intangible assets</v>
      </c>
      <c r="E2690">
        <f>-E896</f>
        <v>22.7</v>
      </c>
      <c r="F2690">
        <f>-F896</f>
        <v>41</v>
      </c>
      <c r="G2690">
        <f>-G896</f>
        <v>51.2</v>
      </c>
      <c r="H2690">
        <f>-H896</f>
        <v>28.2</v>
      </c>
      <c r="I2690">
        <f>-I896</f>
        <v>35.799999999999997</v>
      </c>
    </row>
    <row r="2691" spans="3:12" x14ac:dyDescent="0.3">
      <c r="C2691" t="str">
        <f>C893</f>
        <v>Additions to PPE</v>
      </c>
      <c r="E2691">
        <f>-E893</f>
        <v>239.2</v>
      </c>
      <c r="F2691">
        <f>-F893</f>
        <v>207.1</v>
      </c>
      <c r="G2691">
        <f>-G893</f>
        <v>160.9</v>
      </c>
      <c r="H2691">
        <f>-H893</f>
        <v>122.9</v>
      </c>
      <c r="I2691">
        <f>-I893</f>
        <v>139.6</v>
      </c>
    </row>
    <row r="2692" spans="3:12" x14ac:dyDescent="0.3">
      <c r="E2692" s="2">
        <f>SUM(E2690:E2691)</f>
        <v>261.89999999999998</v>
      </c>
      <c r="F2692" s="2">
        <f>SUM(F2690:F2691)</f>
        <v>248.1</v>
      </c>
      <c r="G2692" s="2">
        <f>SUM(G2690:G2691)</f>
        <v>212.10000000000002</v>
      </c>
      <c r="H2692" s="2">
        <f>SUM(H2690:H2691)</f>
        <v>151.1</v>
      </c>
      <c r="I2692" s="2">
        <f>SUM(I2690:I2691)</f>
        <v>175.39999999999998</v>
      </c>
    </row>
    <row r="2694" spans="3:12" x14ac:dyDescent="0.3">
      <c r="C2694" s="2" t="s">
        <v>135</v>
      </c>
      <c r="E2694">
        <f>E2151</f>
        <v>239.20000000000002</v>
      </c>
      <c r="F2694">
        <f>F2151</f>
        <v>181.79999999999998</v>
      </c>
      <c r="G2694">
        <f>G2151</f>
        <v>138</v>
      </c>
      <c r="H2694">
        <f>H2151</f>
        <v>122.8</v>
      </c>
      <c r="I2694">
        <f>I2151</f>
        <v>139.5</v>
      </c>
    </row>
    <row r="2695" spans="3:12" x14ac:dyDescent="0.3">
      <c r="C2695" t="s">
        <v>1094</v>
      </c>
      <c r="E2695">
        <f>E2197</f>
        <v>22.7</v>
      </c>
      <c r="F2695">
        <f>F2197</f>
        <v>41</v>
      </c>
      <c r="G2695">
        <f>G2197</f>
        <v>51.2</v>
      </c>
      <c r="H2695">
        <f>H2197</f>
        <v>28.200000000000003</v>
      </c>
      <c r="I2695">
        <f>I2197</f>
        <v>36.799999999999997</v>
      </c>
    </row>
    <row r="2696" spans="3:12" x14ac:dyDescent="0.3">
      <c r="E2696" s="2">
        <f>SUM(E2694:E2695)</f>
        <v>261.90000000000003</v>
      </c>
      <c r="F2696" s="2">
        <f>SUM(F2694:F2695)</f>
        <v>222.79999999999998</v>
      </c>
      <c r="G2696" s="2">
        <f>SUM(G2694:G2695)</f>
        <v>189.2</v>
      </c>
      <c r="H2696" s="2">
        <f>SUM(H2694:H2695)</f>
        <v>151</v>
      </c>
      <c r="I2696" s="2">
        <f>SUM(I2694:I2695)</f>
        <v>176.3</v>
      </c>
    </row>
    <row r="2698" spans="3:12" x14ac:dyDescent="0.3">
      <c r="C2698" s="2" t="s">
        <v>1095</v>
      </c>
      <c r="E2698" s="2">
        <f>-(E893+E896)</f>
        <v>261.89999999999998</v>
      </c>
      <c r="F2698">
        <f>-(F893+F896)</f>
        <v>248.1</v>
      </c>
      <c r="G2698">
        <f>-(G893+G896)</f>
        <v>212.10000000000002</v>
      </c>
      <c r="H2698">
        <f>-(H893+H896)</f>
        <v>151.1</v>
      </c>
      <c r="I2698">
        <f>-(I893+I896)</f>
        <v>175.39999999999998</v>
      </c>
      <c r="J2698">
        <v>237</v>
      </c>
      <c r="K2698">
        <v>245</v>
      </c>
      <c r="L2698">
        <v>220</v>
      </c>
    </row>
    <row r="2700" spans="3:12" x14ac:dyDescent="0.3">
      <c r="C2700" t="s">
        <v>1092</v>
      </c>
      <c r="E2700" s="60">
        <f>E2691/E2692</f>
        <v>0.91332569683085152</v>
      </c>
      <c r="F2700" s="60">
        <f>F2691/F2692</f>
        <v>0.83474405481660618</v>
      </c>
      <c r="G2700" s="60">
        <f>G2691/G2692</f>
        <v>0.75860443187175852</v>
      </c>
      <c r="H2700" s="60">
        <f>H2691/H2692</f>
        <v>0.81336863004632698</v>
      </c>
      <c r="I2700" s="60">
        <f>I2691/I2692</f>
        <v>0.79589509692132276</v>
      </c>
      <c r="J2700" s="60">
        <f>AVERAGE(E2700:I2700)</f>
        <v>0.82318758209737308</v>
      </c>
    </row>
    <row r="2701" spans="3:12" x14ac:dyDescent="0.3">
      <c r="C2701" t="s">
        <v>1093</v>
      </c>
      <c r="E2701" s="60">
        <f>E2690/E2692</f>
        <v>8.6674303169148537E-2</v>
      </c>
      <c r="F2701" s="60">
        <f>F2690/F2692</f>
        <v>0.16525594518339379</v>
      </c>
      <c r="G2701" s="60">
        <f>G2690/G2692</f>
        <v>0.24139556812824139</v>
      </c>
      <c r="H2701" s="60">
        <f>H2690/H2692</f>
        <v>0.18663136995367308</v>
      </c>
      <c r="I2701" s="60">
        <f>I2690/I2692</f>
        <v>0.20410490307867732</v>
      </c>
      <c r="J2701" s="60">
        <f>AVERAGE(E2701:I2701)</f>
        <v>0.17681241790262681</v>
      </c>
    </row>
    <row r="2702" spans="3:12" x14ac:dyDescent="0.3">
      <c r="J2702">
        <f>SUM(J2700:J2701)</f>
        <v>0.99999999999999989</v>
      </c>
    </row>
    <row r="2704" spans="3:12" x14ac:dyDescent="0.3">
      <c r="C2704" s="2" t="s">
        <v>280</v>
      </c>
      <c r="E2704">
        <f>E960</f>
        <v>639.1</v>
      </c>
      <c r="F2704">
        <f>F960</f>
        <v>662</v>
      </c>
      <c r="G2704">
        <f>G960</f>
        <v>734.6</v>
      </c>
      <c r="H2704">
        <f>H960</f>
        <v>737.3</v>
      </c>
      <c r="I2704">
        <f>I960</f>
        <v>733.1</v>
      </c>
    </row>
    <row r="2705" spans="3:10" x14ac:dyDescent="0.3">
      <c r="F2705" s="60">
        <f>F2704/E2704-1</f>
        <v>3.5831638241276664E-2</v>
      </c>
      <c r="G2705" s="60">
        <f>G2704/F2704-1</f>
        <v>0.10966767371601205</v>
      </c>
      <c r="H2705" s="60">
        <f>H2704/G2704-1</f>
        <v>3.6754696433431988E-3</v>
      </c>
      <c r="I2705" s="60">
        <f>I2704/H2704-1</f>
        <v>-5.6964600569645585E-3</v>
      </c>
      <c r="J2705" s="90">
        <f>AVERAGE(F2705:I2705)</f>
        <v>3.5869580385916838E-2</v>
      </c>
    </row>
    <row r="2706" spans="3:10" x14ac:dyDescent="0.3">
      <c r="C2706" t="s">
        <v>363</v>
      </c>
      <c r="E2706">
        <f>E2152</f>
        <v>27.8</v>
      </c>
      <c r="F2706">
        <f>F2152</f>
        <v>58.2</v>
      </c>
      <c r="G2706">
        <f>G2152</f>
        <v>40.200000000000003</v>
      </c>
      <c r="H2706">
        <f>H2152</f>
        <v>130.80000000000001</v>
      </c>
      <c r="I2706">
        <f>I2152</f>
        <v>129</v>
      </c>
    </row>
    <row r="2707" spans="3:10" x14ac:dyDescent="0.3">
      <c r="C2707" t="s">
        <v>1032</v>
      </c>
      <c r="E2707" s="60">
        <f>E2706/'HISTORICAL FS'!E12</f>
        <v>6.0096413670853244E-3</v>
      </c>
      <c r="F2707" s="60">
        <f>F2706/'HISTORICAL FS'!F12</f>
        <v>1.1561382598331348E-2</v>
      </c>
      <c r="G2707" s="60">
        <f>G2706/'HISTORICAL FS'!G12</f>
        <v>7.3210708431979609E-3</v>
      </c>
      <c r="H2707" s="60">
        <f>H2706/'HISTORICAL FS'!H12</f>
        <v>2.137918634870303E-2</v>
      </c>
      <c r="I2707" s="60">
        <f>I2706/'HISTORICAL FS'!I12</f>
        <v>1.8692130468172662E-2</v>
      </c>
      <c r="J2707" s="90">
        <f>AVERAGE(E2707:I2707)</f>
        <v>1.2992682325098065E-2</v>
      </c>
    </row>
    <row r="2710" spans="3:10" x14ac:dyDescent="0.3">
      <c r="C2710" t="s">
        <v>1101</v>
      </c>
      <c r="E2710">
        <f>E2177</f>
        <v>79.300000000000011</v>
      </c>
      <c r="F2710">
        <f>F2177</f>
        <v>137.10000000000002</v>
      </c>
      <c r="G2710">
        <f>G2177</f>
        <v>757.2</v>
      </c>
      <c r="H2710">
        <f>H2177</f>
        <v>735.4</v>
      </c>
      <c r="I2710">
        <f>I2177</f>
        <v>713.69999999999993</v>
      </c>
    </row>
    <row r="2711" spans="3:10" x14ac:dyDescent="0.3">
      <c r="C2711" t="s">
        <v>1104</v>
      </c>
      <c r="E2711">
        <f>E2174</f>
        <v>44</v>
      </c>
      <c r="F2711">
        <f>F2174</f>
        <v>65.7</v>
      </c>
      <c r="G2711">
        <f>G2174</f>
        <v>673.6</v>
      </c>
      <c r="H2711">
        <f>H2174</f>
        <v>653</v>
      </c>
      <c r="I2711">
        <f>I2174</f>
        <v>635.79999999999995</v>
      </c>
    </row>
    <row r="2712" spans="3:10" x14ac:dyDescent="0.3">
      <c r="C2712" s="2" t="s">
        <v>1102</v>
      </c>
      <c r="E2712" s="88">
        <f>E2711/E2710</f>
        <v>0.55485498108448916</v>
      </c>
      <c r="F2712" s="88">
        <f>F2711/F2710</f>
        <v>0.47921225382932159</v>
      </c>
      <c r="G2712" s="88">
        <f>G2711/G2710</f>
        <v>0.88959323824617009</v>
      </c>
      <c r="H2712" s="88">
        <f>H2711/H2710</f>
        <v>0.88795213489257552</v>
      </c>
      <c r="I2712" s="88">
        <f>I2711/I2710</f>
        <v>0.89085049740787448</v>
      </c>
      <c r="J2712" s="11">
        <f>AVERAGE(G2712:I2712)</f>
        <v>0.88946529018220666</v>
      </c>
    </row>
    <row r="2713" spans="3:10" x14ac:dyDescent="0.3">
      <c r="C2713" t="s">
        <v>284</v>
      </c>
      <c r="E2713">
        <f>E2175+E2176</f>
        <v>35.299999999999997</v>
      </c>
      <c r="F2713">
        <f>F2175+F2176</f>
        <v>71.400000000000006</v>
      </c>
      <c r="G2713">
        <f>G2175+G2176</f>
        <v>83.6</v>
      </c>
      <c r="H2713">
        <f>H2175+H2176</f>
        <v>82.4</v>
      </c>
      <c r="I2713">
        <f>I2175+I2176</f>
        <v>77.900000000000006</v>
      </c>
    </row>
    <row r="2714" spans="3:10" x14ac:dyDescent="0.3">
      <c r="C2714" s="2" t="s">
        <v>1103</v>
      </c>
      <c r="E2714" s="60">
        <f>E2713/E2710</f>
        <v>0.44514501891551062</v>
      </c>
      <c r="F2714" s="60">
        <f>F2713/F2710</f>
        <v>0.52078774617067825</v>
      </c>
      <c r="G2714" s="60">
        <f>G2713/G2710</f>
        <v>0.11040676175382988</v>
      </c>
      <c r="H2714" s="60">
        <f>H2713/H2710</f>
        <v>0.11204786510742454</v>
      </c>
      <c r="I2714" s="60">
        <f>I2713/I2710</f>
        <v>0.10914950259212557</v>
      </c>
      <c r="J2714" s="90">
        <f>AVERAGE(G2714:I2714)</f>
        <v>0.11053470981779333</v>
      </c>
    </row>
    <row r="2718" spans="3:10" x14ac:dyDescent="0.3">
      <c r="C2718" s="2" t="str">
        <f t="shared" ref="C2718:C2727" si="50">C1537</f>
        <v>EQUITY</v>
      </c>
    </row>
    <row r="2719" spans="3:10" x14ac:dyDescent="0.3">
      <c r="C2719" t="str">
        <f t="shared" si="50"/>
        <v>Share Capital</v>
      </c>
      <c r="E2719">
        <f t="shared" ref="E2719:I2727" si="51">E1538</f>
        <v>13.3</v>
      </c>
      <c r="F2719">
        <f t="shared" si="51"/>
        <v>12.9</v>
      </c>
      <c r="G2719">
        <f t="shared" si="51"/>
        <v>12.7</v>
      </c>
      <c r="H2719">
        <f t="shared" si="51"/>
        <v>12.4</v>
      </c>
      <c r="I2719">
        <f t="shared" si="51"/>
        <v>12.3</v>
      </c>
    </row>
    <row r="2720" spans="3:10" x14ac:dyDescent="0.3">
      <c r="C2720" t="str">
        <f t="shared" si="50"/>
        <v>Share Premium</v>
      </c>
      <c r="E2720">
        <f t="shared" si="51"/>
        <v>0.9</v>
      </c>
      <c r="F2720">
        <f t="shared" si="51"/>
        <v>0.9</v>
      </c>
      <c r="G2720">
        <f t="shared" si="51"/>
        <v>54.2</v>
      </c>
      <c r="H2720">
        <f t="shared" si="51"/>
        <v>54.2</v>
      </c>
      <c r="I2720">
        <f t="shared" si="51"/>
        <v>54.2</v>
      </c>
    </row>
    <row r="2721" spans="3:9" x14ac:dyDescent="0.3">
      <c r="C2721" t="str">
        <f t="shared" si="50"/>
        <v>Capital redemption reserve</v>
      </c>
      <c r="E2721">
        <f t="shared" si="51"/>
        <v>16.600000000000001</v>
      </c>
      <c r="F2721">
        <f t="shared" si="51"/>
        <v>17</v>
      </c>
      <c r="G2721">
        <f t="shared" si="51"/>
        <v>17.3</v>
      </c>
      <c r="H2721">
        <f t="shared" si="51"/>
        <v>17.600000000000001</v>
      </c>
      <c r="I2721">
        <f t="shared" si="51"/>
        <v>458.5</v>
      </c>
    </row>
    <row r="2722" spans="3:9" x14ac:dyDescent="0.3">
      <c r="C2722" t="str">
        <f t="shared" si="50"/>
        <v>ESOT reserve</v>
      </c>
      <c r="E2722">
        <f t="shared" si="51"/>
        <v>-331.7</v>
      </c>
      <c r="F2722">
        <f t="shared" si="51"/>
        <v>-396.7</v>
      </c>
      <c r="G2722">
        <f t="shared" si="51"/>
        <v>-387.3</v>
      </c>
      <c r="H2722">
        <f t="shared" si="51"/>
        <v>-427.7</v>
      </c>
      <c r="I2722">
        <f t="shared" si="51"/>
        <v>-442.4</v>
      </c>
    </row>
    <row r="2723" spans="3:9" x14ac:dyDescent="0.3">
      <c r="C2723" t="str">
        <f t="shared" si="50"/>
        <v>cashflow hedge reserve</v>
      </c>
      <c r="E2723">
        <f t="shared" si="51"/>
        <v>27.9</v>
      </c>
      <c r="F2723">
        <f t="shared" si="51"/>
        <v>-11.3</v>
      </c>
      <c r="G2723">
        <f t="shared" si="51"/>
        <v>-4.7</v>
      </c>
      <c r="H2723">
        <f t="shared" si="51"/>
        <v>19.100000000000001</v>
      </c>
      <c r="I2723">
        <f t="shared" si="51"/>
        <v>-16.100000000000001</v>
      </c>
    </row>
    <row r="2724" spans="3:9" x14ac:dyDescent="0.3">
      <c r="C2724" t="str">
        <f t="shared" si="50"/>
        <v>Cost of hedging reserve</v>
      </c>
      <c r="E2724">
        <f t="shared" si="51"/>
        <v>0.7</v>
      </c>
      <c r="F2724">
        <f t="shared" si="51"/>
        <v>0.4</v>
      </c>
      <c r="G2724">
        <f t="shared" si="51"/>
        <v>-0.3</v>
      </c>
      <c r="H2724">
        <f t="shared" si="51"/>
        <v>-0.2</v>
      </c>
      <c r="I2724">
        <f t="shared" si="51"/>
        <v>-1</v>
      </c>
    </row>
    <row r="2725" spans="3:9" x14ac:dyDescent="0.3">
      <c r="C2725" t="str">
        <f t="shared" si="50"/>
        <v>Foreign currency translation</v>
      </c>
      <c r="E2725">
        <f t="shared" si="51"/>
        <v>-4.9000000000000004</v>
      </c>
      <c r="F2725">
        <f t="shared" si="51"/>
        <v>-3.7</v>
      </c>
      <c r="G2725">
        <f t="shared" si="51"/>
        <v>-7.5</v>
      </c>
      <c r="H2725">
        <f t="shared" si="51"/>
        <v>-9.6999999999999993</v>
      </c>
      <c r="I2725">
        <f t="shared" si="51"/>
        <v>-7.3</v>
      </c>
    </row>
    <row r="2726" spans="3:9" x14ac:dyDescent="0.3">
      <c r="C2726" t="str">
        <f t="shared" si="50"/>
        <v>Other Reserve</v>
      </c>
      <c r="E2726">
        <f t="shared" si="51"/>
        <v>-1443.8</v>
      </c>
      <c r="F2726">
        <f t="shared" si="51"/>
        <v>-1443.8</v>
      </c>
      <c r="G2726">
        <f t="shared" si="51"/>
        <v>-1443.8</v>
      </c>
      <c r="H2726">
        <f t="shared" si="51"/>
        <v>-1448.9</v>
      </c>
      <c r="I2726">
        <f t="shared" si="51"/>
        <v>-1889.7</v>
      </c>
    </row>
    <row r="2727" spans="3:9" x14ac:dyDescent="0.3">
      <c r="C2727" t="str">
        <f t="shared" si="50"/>
        <v>Retained Earnings includes profit for the period</v>
      </c>
      <c r="E2727">
        <f t="shared" si="51"/>
        <v>2731</v>
      </c>
      <c r="F2727">
        <f t="shared" si="51"/>
        <v>2984.8</v>
      </c>
      <c r="G2727">
        <f t="shared" si="51"/>
        <v>3271.3</v>
      </c>
      <c r="H2727">
        <f t="shared" si="51"/>
        <v>3419.5</v>
      </c>
      <c r="I2727">
        <f t="shared" si="51"/>
        <v>3494</v>
      </c>
    </row>
    <row r="2728" spans="3:9" x14ac:dyDescent="0.3">
      <c r="E2728" s="46">
        <f>SUM(E2719:E2727)</f>
        <v>1010</v>
      </c>
      <c r="F2728" s="46">
        <f>SUM(F2719:F2727)</f>
        <v>1160.5000000000002</v>
      </c>
      <c r="G2728" s="46">
        <f>SUM(G2719:G2727)</f>
        <v>1511.9</v>
      </c>
      <c r="H2728" s="46">
        <f>SUM(H2719:H2727)</f>
        <v>1636.3</v>
      </c>
      <c r="I2728" s="46">
        <f>SUM(I2719:I2727)</f>
        <v>1662.5</v>
      </c>
    </row>
    <row r="2729" spans="3:9" x14ac:dyDescent="0.3">
      <c r="C2729" t="str">
        <f>C1548</f>
        <v>non controlling interest</v>
      </c>
      <c r="E2729">
        <f>E1548</f>
        <v>0</v>
      </c>
      <c r="F2729">
        <f>F1548</f>
        <v>4.5999999999999996</v>
      </c>
      <c r="G2729">
        <f>G1548</f>
        <v>126.9</v>
      </c>
      <c r="H2729">
        <f>H1548</f>
        <v>118</v>
      </c>
      <c r="I2729">
        <f>I1548</f>
        <v>118</v>
      </c>
    </row>
    <row r="2730" spans="3:9" x14ac:dyDescent="0.3">
      <c r="E2730" s="47">
        <f>E2728+E2729</f>
        <v>1010</v>
      </c>
      <c r="F2730" s="47">
        <f>F2728+F2729</f>
        <v>1165.1000000000001</v>
      </c>
      <c r="G2730" s="47">
        <f>G2728+G2729</f>
        <v>1638.8000000000002</v>
      </c>
      <c r="H2730" s="47">
        <f>H2728+H2729</f>
        <v>1754.3</v>
      </c>
      <c r="I2730" s="47">
        <f>I2728+I2729</f>
        <v>1780.5</v>
      </c>
    </row>
    <row r="2731" spans="3:9" x14ac:dyDescent="0.3">
      <c r="C2731" t="s">
        <v>1111</v>
      </c>
    </row>
    <row r="2732" spans="3:9" x14ac:dyDescent="0.3">
      <c r="C2732" t="s">
        <v>236</v>
      </c>
    </row>
    <row r="2733" spans="3:9" x14ac:dyDescent="0.3">
      <c r="C2733" s="2" t="s">
        <v>83</v>
      </c>
    </row>
    <row r="2734" spans="3:9" x14ac:dyDescent="0.3">
      <c r="C2734" s="2" t="s">
        <v>1120</v>
      </c>
    </row>
    <row r="2735" spans="3:9" x14ac:dyDescent="0.3">
      <c r="C2735" t="s">
        <v>1118</v>
      </c>
      <c r="I2735" t="s">
        <v>1119</v>
      </c>
    </row>
    <row r="2737" spans="2:15" x14ac:dyDescent="0.3">
      <c r="C2737" t="s">
        <v>1110</v>
      </c>
      <c r="F2737">
        <f>E2740</f>
        <v>13.3</v>
      </c>
      <c r="G2737">
        <f>F2740</f>
        <v>12.9</v>
      </c>
      <c r="H2737">
        <f>G2740</f>
        <v>12.7</v>
      </c>
      <c r="I2737">
        <f>H2740</f>
        <v>12.399999999999999</v>
      </c>
      <c r="J2737">
        <f>I2740</f>
        <v>12.299999999999999</v>
      </c>
    </row>
    <row r="2738" spans="2:15" x14ac:dyDescent="0.3">
      <c r="C2738" t="s">
        <v>1112</v>
      </c>
      <c r="G2738">
        <v>0.1</v>
      </c>
    </row>
    <row r="2739" spans="2:15" x14ac:dyDescent="0.3">
      <c r="C2739" t="s">
        <v>1113</v>
      </c>
      <c r="F2739">
        <v>0.4</v>
      </c>
      <c r="G2739">
        <v>0.3</v>
      </c>
      <c r="H2739">
        <v>0.3</v>
      </c>
      <c r="I2739">
        <v>0.1</v>
      </c>
      <c r="J2739">
        <v>0.41670000000000001</v>
      </c>
      <c r="O2739" s="100"/>
    </row>
    <row r="2740" spans="2:15" x14ac:dyDescent="0.3">
      <c r="C2740" t="s">
        <v>355</v>
      </c>
      <c r="E2740" s="47">
        <f>E2719</f>
        <v>13.3</v>
      </c>
      <c r="F2740" s="47">
        <f>F2737+F2738-F2739</f>
        <v>12.9</v>
      </c>
      <c r="G2740" s="47">
        <f>G2737+G2738-G2739</f>
        <v>12.7</v>
      </c>
      <c r="H2740" s="47">
        <f>H2737+H2738-H2739</f>
        <v>12.399999999999999</v>
      </c>
      <c r="I2740" s="47">
        <f>I2737+I2738-I2739</f>
        <v>12.299999999999999</v>
      </c>
    </row>
    <row r="2741" spans="2:15" x14ac:dyDescent="0.3">
      <c r="F2741">
        <f>F2740-E2740</f>
        <v>-0.40000000000000036</v>
      </c>
      <c r="G2741">
        <f>G2740-F2740</f>
        <v>-0.20000000000000107</v>
      </c>
      <c r="H2741">
        <f>H2740-G2740</f>
        <v>-0.30000000000000071</v>
      </c>
    </row>
    <row r="2742" spans="2:15" x14ac:dyDescent="0.3">
      <c r="B2742" t="s">
        <v>1117</v>
      </c>
    </row>
    <row r="2743" spans="2:15" x14ac:dyDescent="0.3">
      <c r="C2743" t="s">
        <v>1122</v>
      </c>
      <c r="I2743" t="s">
        <v>1123</v>
      </c>
    </row>
    <row r="2745" spans="2:15" x14ac:dyDescent="0.3">
      <c r="C2745" t="s">
        <v>1124</v>
      </c>
      <c r="I2745">
        <v>440.8</v>
      </c>
    </row>
    <row r="2746" spans="2:15" x14ac:dyDescent="0.3">
      <c r="C2746" t="s">
        <v>1125</v>
      </c>
      <c r="I2746">
        <v>440.8</v>
      </c>
    </row>
    <row r="2747" spans="2:15" x14ac:dyDescent="0.3">
      <c r="E2747" s="2">
        <f>E2740+E2745-E2746</f>
        <v>13.3</v>
      </c>
      <c r="F2747" s="2">
        <f>F2740+F2745-F2746</f>
        <v>12.9</v>
      </c>
      <c r="G2747" s="2">
        <f>G2740+G2745-G2746</f>
        <v>12.7</v>
      </c>
      <c r="H2747" s="2">
        <f>H2740+H2745-H2746</f>
        <v>12.399999999999999</v>
      </c>
      <c r="I2747" s="2">
        <f>I2740+I2745-I2746</f>
        <v>12.300000000000011</v>
      </c>
    </row>
    <row r="2749" spans="2:15" x14ac:dyDescent="0.3">
      <c r="C2749" t="s">
        <v>1137</v>
      </c>
      <c r="E2749" t="str">
        <f t="shared" ref="E2749:J2749" si="52">E2761</f>
        <v>0. 1175</v>
      </c>
      <c r="F2749">
        <f t="shared" si="52"/>
        <v>3.5</v>
      </c>
      <c r="G2749">
        <f t="shared" si="52"/>
        <v>2.6</v>
      </c>
      <c r="H2749">
        <f t="shared" si="52"/>
        <v>3.8</v>
      </c>
      <c r="I2749">
        <f t="shared" si="52"/>
        <v>1.2055045871559633</v>
      </c>
      <c r="J2749">
        <f t="shared" si="52"/>
        <v>4.166666666666667</v>
      </c>
    </row>
    <row r="2750" spans="2:15" x14ac:dyDescent="0.3">
      <c r="C2750" t="s">
        <v>1138</v>
      </c>
    </row>
    <row r="2751" spans="2:15" x14ac:dyDescent="0.3">
      <c r="C2751" t="s">
        <v>1139</v>
      </c>
      <c r="E2751" t="str">
        <f t="shared" ref="E2751:J2751" si="53">E2749</f>
        <v>0. 1175</v>
      </c>
      <c r="F2751">
        <f t="shared" si="53"/>
        <v>3.5</v>
      </c>
      <c r="G2751">
        <f t="shared" si="53"/>
        <v>2.6</v>
      </c>
      <c r="H2751">
        <f t="shared" si="53"/>
        <v>3.8</v>
      </c>
      <c r="I2751">
        <f t="shared" si="53"/>
        <v>1.2055045871559633</v>
      </c>
      <c r="J2751">
        <f t="shared" si="53"/>
        <v>4.166666666666667</v>
      </c>
    </row>
    <row r="2752" spans="2:15" x14ac:dyDescent="0.3">
      <c r="C2752" t="s">
        <v>1141</v>
      </c>
      <c r="E2752">
        <f t="shared" ref="E2752:J2752" si="54">E2757</f>
        <v>-8.6999999999999993</v>
      </c>
      <c r="F2752">
        <f t="shared" si="54"/>
        <v>-228.5</v>
      </c>
      <c r="G2752">
        <f t="shared" si="54"/>
        <v>-177.3</v>
      </c>
      <c r="H2752">
        <f t="shared" si="54"/>
        <v>-360.2</v>
      </c>
      <c r="I2752">
        <f t="shared" si="54"/>
        <v>-131.4</v>
      </c>
      <c r="J2752">
        <f t="shared" si="54"/>
        <v>-500</v>
      </c>
    </row>
    <row r="2753" spans="3:14" x14ac:dyDescent="0.3">
      <c r="C2753" t="s">
        <v>1142</v>
      </c>
    </row>
    <row r="2755" spans="3:14" x14ac:dyDescent="0.3">
      <c r="C2755" t="s">
        <v>1121</v>
      </c>
    </row>
    <row r="2757" spans="3:14" x14ac:dyDescent="0.3">
      <c r="C2757" t="str">
        <f>C917</f>
        <v>Repurchase of own shares</v>
      </c>
      <c r="E2757">
        <f>E917</f>
        <v>-8.6999999999999993</v>
      </c>
      <c r="F2757">
        <f>F917</f>
        <v>-228.5</v>
      </c>
      <c r="G2757">
        <f>G917</f>
        <v>-177.3</v>
      </c>
      <c r="H2757">
        <f>H917</f>
        <v>-360.2</v>
      </c>
      <c r="I2757">
        <f>I917</f>
        <v>-131.4</v>
      </c>
      <c r="J2757">
        <v>-500</v>
      </c>
      <c r="K2757">
        <f>AVERAGE(E2757:I2757)</f>
        <v>-181.22</v>
      </c>
      <c r="L2757">
        <f>AVERAGE(F2757:J2757)</f>
        <v>-279.48</v>
      </c>
      <c r="M2757">
        <v>348</v>
      </c>
      <c r="N2757">
        <f>AVERAGE(G2757:L2757)</f>
        <v>-271.60000000000002</v>
      </c>
    </row>
    <row r="2758" spans="3:14" x14ac:dyDescent="0.3">
      <c r="J2758">
        <f>J2785*J2787</f>
        <v>210.31379613523779</v>
      </c>
      <c r="K2758">
        <f>K2785*K2787</f>
        <v>370.6423569830277</v>
      </c>
      <c r="L2758">
        <f>L2785*L2787</f>
        <v>335.79215366512136</v>
      </c>
      <c r="M2758">
        <f>M2785*M2787</f>
        <v>369.39415232509083</v>
      </c>
      <c r="N2758">
        <f>N2785*N2787</f>
        <v>357.98280626612399</v>
      </c>
    </row>
    <row r="2759" spans="3:14" x14ac:dyDescent="0.3">
      <c r="C2759" t="s">
        <v>1115</v>
      </c>
      <c r="E2759">
        <f>E2757</f>
        <v>-8.6999999999999993</v>
      </c>
      <c r="F2759">
        <f>F2757</f>
        <v>-228.5</v>
      </c>
      <c r="G2759">
        <f>G2757</f>
        <v>-177.3</v>
      </c>
      <c r="H2759">
        <f>H2757</f>
        <v>-360.2</v>
      </c>
      <c r="I2759">
        <f>I2757</f>
        <v>-131.4</v>
      </c>
      <c r="J2759">
        <f>-J2757</f>
        <v>500</v>
      </c>
    </row>
    <row r="2760" spans="3:14" x14ac:dyDescent="0.3">
      <c r="C2760" t="s">
        <v>1116</v>
      </c>
      <c r="E2760">
        <v>73.900000000000006</v>
      </c>
      <c r="F2760">
        <v>63.85</v>
      </c>
      <c r="G2760">
        <v>68.599999999999994</v>
      </c>
      <c r="H2760">
        <v>95.62</v>
      </c>
      <c r="I2760">
        <v>109</v>
      </c>
      <c r="J2760">
        <v>120</v>
      </c>
      <c r="K2760">
        <f>J2760</f>
        <v>120</v>
      </c>
      <c r="L2760">
        <f>K2760</f>
        <v>120</v>
      </c>
      <c r="M2760">
        <f>L2760</f>
        <v>120</v>
      </c>
      <c r="N2760">
        <f>M2760</f>
        <v>120</v>
      </c>
    </row>
    <row r="2761" spans="3:14" x14ac:dyDescent="0.3">
      <c r="C2761" t="s">
        <v>1114</v>
      </c>
      <c r="E2761" t="s">
        <v>1146</v>
      </c>
      <c r="F2761">
        <v>3.5</v>
      </c>
      <c r="G2761">
        <v>2.6</v>
      </c>
      <c r="H2761">
        <v>3.8</v>
      </c>
      <c r="I2761" s="2">
        <f t="shared" ref="I2761:N2761" si="55">-I2757/I2760</f>
        <v>1.2055045871559633</v>
      </c>
      <c r="J2761" s="2">
        <f t="shared" si="55"/>
        <v>4.166666666666667</v>
      </c>
      <c r="K2761" s="2">
        <f t="shared" si="55"/>
        <v>1.5101666666666667</v>
      </c>
      <c r="L2761" s="2">
        <f t="shared" si="55"/>
        <v>2.3290000000000002</v>
      </c>
      <c r="M2761" s="2">
        <f t="shared" si="55"/>
        <v>-2.9</v>
      </c>
      <c r="N2761" s="2">
        <f t="shared" si="55"/>
        <v>2.2633333333333336</v>
      </c>
    </row>
    <row r="2762" spans="3:14" x14ac:dyDescent="0.3">
      <c r="E2762">
        <f>E2759/E2760</f>
        <v>-0.11772665764546683</v>
      </c>
      <c r="F2762">
        <f>F2759/F2760</f>
        <v>-3.5787000783085356</v>
      </c>
      <c r="G2762">
        <f>G2759/G2760</f>
        <v>-2.5845481049562684</v>
      </c>
    </row>
    <row r="2764" spans="3:14" x14ac:dyDescent="0.3">
      <c r="C2764" t="s">
        <v>1127</v>
      </c>
      <c r="I2764">
        <v>990.7</v>
      </c>
      <c r="J2764" s="10">
        <v>1.4E-2</v>
      </c>
      <c r="K2764">
        <f>I2764*(1+J2764)</f>
        <v>1004.5698000000001</v>
      </c>
    </row>
    <row r="2765" spans="3:14" x14ac:dyDescent="0.3">
      <c r="C2765" t="s">
        <v>1128</v>
      </c>
      <c r="J2765">
        <f>I2747</f>
        <v>12.300000000000011</v>
      </c>
    </row>
    <row r="2766" spans="3:14" x14ac:dyDescent="0.3">
      <c r="C2766" t="s">
        <v>1129</v>
      </c>
      <c r="J2766">
        <f>J2761</f>
        <v>4.166666666666667</v>
      </c>
    </row>
    <row r="2769" spans="3:14" x14ac:dyDescent="0.3">
      <c r="C2769" t="str">
        <f>ASSUMPTIONS!C206</f>
        <v>Ordinary dividends declared</v>
      </c>
      <c r="I2769">
        <v>279</v>
      </c>
      <c r="J2769">
        <f>ASSUMPTIONS!J206</f>
        <v>324</v>
      </c>
    </row>
    <row r="2770" spans="3:14" x14ac:dyDescent="0.3">
      <c r="C2770" t="str">
        <f>ASSUMPTIONS!C207</f>
        <v>Ordinary dividends paid</v>
      </c>
      <c r="E2770">
        <f>'MODEL&amp;SCHEDULE'!E143</f>
        <v>-344.5</v>
      </c>
      <c r="F2770">
        <f>'MODEL&amp;SCHEDULE'!F143</f>
        <v>-237.4</v>
      </c>
      <c r="G2770">
        <f>'MODEL&amp;SCHEDULE'!G143</f>
        <v>-248.3</v>
      </c>
      <c r="H2770">
        <f>'MODEL&amp;SCHEDULE'!H143</f>
        <v>-257.8</v>
      </c>
      <c r="I2770">
        <f>'MODEL&amp;SCHEDULE'!I143</f>
        <v>-286.5</v>
      </c>
      <c r="J2770">
        <f>'MODEL&amp;SCHEDULE'!J143</f>
        <v>-318</v>
      </c>
      <c r="K2770">
        <v>-342.08333333333297</v>
      </c>
      <c r="L2770">
        <f>AVERAGE(G2770:K2770)</f>
        <v>-290.53666666666658</v>
      </c>
      <c r="M2770">
        <v>-277.39398148148098</v>
      </c>
      <c r="N2770">
        <v>-282.2429783950617</v>
      </c>
    </row>
    <row r="2772" spans="3:14" x14ac:dyDescent="0.3">
      <c r="J2772">
        <f>J2770/J2769</f>
        <v>-0.98148148148148151</v>
      </c>
    </row>
    <row r="2774" spans="3:14" x14ac:dyDescent="0.3">
      <c r="C2774" t="s">
        <v>1107</v>
      </c>
      <c r="J2774">
        <f>I2777</f>
        <v>3494</v>
      </c>
    </row>
    <row r="2775" spans="3:14" x14ac:dyDescent="0.3">
      <c r="C2775" t="s">
        <v>1134</v>
      </c>
    </row>
    <row r="2776" spans="3:14" x14ac:dyDescent="0.3">
      <c r="C2776" t="s">
        <v>1135</v>
      </c>
      <c r="J2776">
        <f>J2769</f>
        <v>324</v>
      </c>
    </row>
    <row r="2777" spans="3:14" x14ac:dyDescent="0.3">
      <c r="C2777" t="s">
        <v>355</v>
      </c>
      <c r="I2777">
        <f>I2727</f>
        <v>3494</v>
      </c>
    </row>
    <row r="2782" spans="3:14" x14ac:dyDescent="0.3">
      <c r="C2782" t="s">
        <v>1143</v>
      </c>
      <c r="E2782">
        <f>E889</f>
        <v>971.39999999999941</v>
      </c>
      <c r="F2782">
        <f>F889</f>
        <v>798.79999999999927</v>
      </c>
      <c r="G2782">
        <f>G889</f>
        <v>1117.4999999999998</v>
      </c>
      <c r="H2782">
        <f>H889</f>
        <v>1126.5</v>
      </c>
      <c r="I2782">
        <f>I889</f>
        <v>1223.4000000000001</v>
      </c>
    </row>
    <row r="2783" spans="3:14" x14ac:dyDescent="0.3">
      <c r="C2783" t="s">
        <v>1144</v>
      </c>
      <c r="E2783">
        <f t="shared" ref="E2783:J2783" si="56">-(E893+E896)</f>
        <v>261.89999999999998</v>
      </c>
      <c r="F2783">
        <f t="shared" si="56"/>
        <v>248.1</v>
      </c>
      <c r="G2783">
        <f t="shared" si="56"/>
        <v>212.10000000000002</v>
      </c>
      <c r="H2783">
        <f t="shared" si="56"/>
        <v>151.1</v>
      </c>
      <c r="I2783">
        <f t="shared" si="56"/>
        <v>175.39999999999998</v>
      </c>
      <c r="J2783">
        <f t="shared" si="56"/>
        <v>0</v>
      </c>
    </row>
    <row r="2784" spans="3:14" x14ac:dyDescent="0.3">
      <c r="C2784" t="s">
        <v>1145</v>
      </c>
      <c r="E2784">
        <f>-E934</f>
        <v>172.3</v>
      </c>
      <c r="F2784">
        <f>-F934</f>
        <v>157.1</v>
      </c>
      <c r="G2784">
        <f>-G934</f>
        <v>156.1</v>
      </c>
      <c r="H2784">
        <f>-H934</f>
        <v>164.6</v>
      </c>
      <c r="I2784">
        <f>-I934</f>
        <v>167.4</v>
      </c>
    </row>
    <row r="2785" spans="3:14" x14ac:dyDescent="0.3">
      <c r="C2785" t="s">
        <v>1140</v>
      </c>
      <c r="E2785" s="47">
        <f>E2782-E2783-E2784</f>
        <v>537.19999999999936</v>
      </c>
      <c r="F2785" s="47">
        <f>F2782-F2783-F2784</f>
        <v>393.59999999999923</v>
      </c>
      <c r="G2785" s="47">
        <f>G2782-G2783-G2784</f>
        <v>749.29999999999973</v>
      </c>
      <c r="H2785" s="47">
        <f>H2782-H2783-H2784</f>
        <v>810.8</v>
      </c>
      <c r="I2785" s="47">
        <f>I2782-I2783-I2784</f>
        <v>880.6</v>
      </c>
      <c r="J2785" s="2">
        <f>I2785+J2786</f>
        <v>736.99999999999989</v>
      </c>
      <c r="K2785" s="2">
        <f>J2785+K2786</f>
        <v>1092.7000000000003</v>
      </c>
      <c r="L2785" s="2">
        <f>K2785+L2786</f>
        <v>1154.2000000000005</v>
      </c>
      <c r="M2785" s="2">
        <f>L2785+M2786</f>
        <v>1224.0000000000005</v>
      </c>
      <c r="N2785" s="2">
        <f>M2785+N2786</f>
        <v>1309.8500000000006</v>
      </c>
    </row>
    <row r="2786" spans="3:14" x14ac:dyDescent="0.3">
      <c r="F2786">
        <f>F2785-E2785</f>
        <v>-143.60000000000014</v>
      </c>
      <c r="G2786">
        <f>G2785-F2785</f>
        <v>355.7000000000005</v>
      </c>
      <c r="H2786">
        <f>H2785-G2785</f>
        <v>61.500000000000227</v>
      </c>
      <c r="I2786">
        <f>I2785-H2785</f>
        <v>69.800000000000068</v>
      </c>
      <c r="J2786">
        <v>-143.60000000000014</v>
      </c>
      <c r="K2786">
        <v>355.7000000000005</v>
      </c>
      <c r="L2786">
        <v>61.500000000000227</v>
      </c>
      <c r="M2786">
        <v>69.800000000000068</v>
      </c>
      <c r="N2786">
        <f>AVERAGE(F2786:M2786)</f>
        <v>85.850000000000165</v>
      </c>
    </row>
    <row r="2787" spans="3:14" x14ac:dyDescent="0.3">
      <c r="C2787" t="s">
        <v>1147</v>
      </c>
      <c r="E2787" s="60">
        <f>-E2759/E2785</f>
        <v>1.6195085629188401E-2</v>
      </c>
      <c r="F2787" s="60">
        <f>-F2759/F2785</f>
        <v>0.58053861788618</v>
      </c>
      <c r="G2787" s="60">
        <f>-G2759/G2785</f>
        <v>0.23662084612304829</v>
      </c>
      <c r="H2787" s="60">
        <f>-H2759/H2785</f>
        <v>0.44425259003453382</v>
      </c>
      <c r="I2787" s="60">
        <f>-I2759/I2785</f>
        <v>0.1492164433340904</v>
      </c>
      <c r="J2787" s="60">
        <f>AVERAGE(E2787:I2787)</f>
        <v>0.28536471660140816</v>
      </c>
      <c r="K2787" s="60">
        <f>AVERAGE(F2787:J2787)</f>
        <v>0.3391986427958521</v>
      </c>
      <c r="L2787" s="60">
        <f>AVERAGE(G2787:K2787)</f>
        <v>0.29093064777778654</v>
      </c>
      <c r="M2787" s="60">
        <f>AVERAGE(H2787:L2787)</f>
        <v>0.30179260810873421</v>
      </c>
      <c r="N2787" s="60">
        <f>AVERAGE(I2787:M2787)</f>
        <v>0.27330061172357434</v>
      </c>
    </row>
    <row r="2792" spans="3:14" x14ac:dyDescent="0.3">
      <c r="C2792" t="str">
        <f>C2721</f>
        <v>Capital redemption reserve</v>
      </c>
      <c r="E2792">
        <f>E2721</f>
        <v>16.600000000000001</v>
      </c>
      <c r="F2792">
        <f>F2721</f>
        <v>17</v>
      </c>
      <c r="G2792">
        <f>G2721</f>
        <v>17.3</v>
      </c>
      <c r="H2792">
        <f>H2721</f>
        <v>17.600000000000001</v>
      </c>
      <c r="I2792">
        <f>I2721</f>
        <v>458.5</v>
      </c>
    </row>
    <row r="2793" spans="3:14" x14ac:dyDescent="0.3">
      <c r="F2793">
        <f>F2792-E2792</f>
        <v>0.39999999999999858</v>
      </c>
      <c r="G2793">
        <f>G2792-F2792</f>
        <v>0.30000000000000071</v>
      </c>
      <c r="H2793">
        <f>H2792-G2792</f>
        <v>0.30000000000000071</v>
      </c>
      <c r="I2793">
        <f>I2792-H2792</f>
        <v>440.9</v>
      </c>
    </row>
    <row r="2795" spans="3:14" x14ac:dyDescent="0.3">
      <c r="C2795" s="2" t="s">
        <v>1156</v>
      </c>
    </row>
    <row r="2796" spans="3:14" x14ac:dyDescent="0.3">
      <c r="C2796" t="s">
        <v>1157</v>
      </c>
      <c r="J2796">
        <f>-I2799</f>
        <v>442.4</v>
      </c>
    </row>
    <row r="2797" spans="3:14" x14ac:dyDescent="0.3">
      <c r="C2797" t="s">
        <v>1158</v>
      </c>
      <c r="I2797">
        <v>169</v>
      </c>
      <c r="J2797">
        <f>-J2802</f>
        <v>169</v>
      </c>
    </row>
    <row r="2798" spans="3:14" x14ac:dyDescent="0.3">
      <c r="C2798" t="s">
        <v>1159</v>
      </c>
      <c r="I2798">
        <v>154.30000000000001</v>
      </c>
      <c r="J2798">
        <v>96</v>
      </c>
      <c r="K2798">
        <f>I2798-J2798</f>
        <v>58.300000000000011</v>
      </c>
    </row>
    <row r="2799" spans="3:14" x14ac:dyDescent="0.3">
      <c r="C2799" t="s">
        <v>1160</v>
      </c>
      <c r="I2799">
        <f>I2722</f>
        <v>-442.4</v>
      </c>
      <c r="J2799">
        <f>J2796+J2797-J2798</f>
        <v>515.4</v>
      </c>
    </row>
    <row r="2802" spans="3:14" x14ac:dyDescent="0.3">
      <c r="C2802" t="str">
        <f>C922</f>
        <v>purchase of shares by ESOT</v>
      </c>
      <c r="E2802">
        <f>E922</f>
        <v>-151.30000000000001</v>
      </c>
      <c r="F2802">
        <f>F922</f>
        <v>-124</v>
      </c>
      <c r="G2802">
        <f>G922</f>
        <v>-116.3</v>
      </c>
      <c r="H2802">
        <f>H922</f>
        <v>-126.8</v>
      </c>
      <c r="I2802">
        <f>I922</f>
        <v>-169</v>
      </c>
      <c r="J2802">
        <f>I2802</f>
        <v>-169</v>
      </c>
      <c r="K2802">
        <f>J2802</f>
        <v>-169</v>
      </c>
    </row>
    <row r="2803" spans="3:14" x14ac:dyDescent="0.3">
      <c r="F2803" s="60">
        <f>F2802/E2802-1</f>
        <v>-0.18043621943159294</v>
      </c>
      <c r="G2803" s="60">
        <f>G2802/F2802-1</f>
        <v>-6.2096774193548421E-2</v>
      </c>
      <c r="H2803" s="60">
        <f>H2802/G2802-1</f>
        <v>9.028374892519353E-2</v>
      </c>
      <c r="I2803" s="60">
        <f>I2802/H2802-1</f>
        <v>0.33280757097791791</v>
      </c>
      <c r="J2803" s="60"/>
    </row>
    <row r="2804" spans="3:14" x14ac:dyDescent="0.3">
      <c r="C2804" t="str">
        <f>C923</f>
        <v>Disposal of shares by ESOT</v>
      </c>
      <c r="E2804">
        <f>E923</f>
        <v>72.5</v>
      </c>
      <c r="F2804">
        <f>F923</f>
        <v>34.299999999999997</v>
      </c>
      <c r="G2804">
        <f>G923</f>
        <v>97.8</v>
      </c>
      <c r="H2804">
        <f>H923</f>
        <v>77</v>
      </c>
      <c r="I2804">
        <f>I923</f>
        <v>107.2</v>
      </c>
      <c r="J2804">
        <v>105</v>
      </c>
      <c r="K2804">
        <f>J2804</f>
        <v>105</v>
      </c>
    </row>
    <row r="2805" spans="3:14" x14ac:dyDescent="0.3">
      <c r="F2805" s="60">
        <f>F2804/E2804-1</f>
        <v>-0.52689655172413796</v>
      </c>
      <c r="G2805" s="60">
        <f>G2804/F2804-1</f>
        <v>1.85131195335277</v>
      </c>
      <c r="H2805" s="60">
        <f>H2804/G2804-1</f>
        <v>-0.212678936605317</v>
      </c>
      <c r="I2805" s="60">
        <f>I2804/H2804-1</f>
        <v>0.39220779220779223</v>
      </c>
      <c r="J2805" s="60"/>
    </row>
    <row r="2806" spans="3:14" x14ac:dyDescent="0.3">
      <c r="I2806">
        <f>I2802+I2804</f>
        <v>-61.8</v>
      </c>
      <c r="J2806">
        <f>J2802+J2804</f>
        <v>-64</v>
      </c>
    </row>
    <row r="2807" spans="3:14" x14ac:dyDescent="0.3">
      <c r="I2807">
        <f>I2802-I2806</f>
        <v>-107.2</v>
      </c>
    </row>
    <row r="2810" spans="3:14" x14ac:dyDescent="0.3">
      <c r="C2810" t="str">
        <f>C879</f>
        <v>Share option charge</v>
      </c>
      <c r="E2810">
        <f>E879</f>
        <v>19.899999999999999</v>
      </c>
      <c r="F2810">
        <f>F879</f>
        <v>24.3</v>
      </c>
      <c r="G2810">
        <f>G879</f>
        <v>31.9</v>
      </c>
      <c r="H2810">
        <f>H879</f>
        <v>40.9</v>
      </c>
      <c r="I2810">
        <f>I879</f>
        <v>43.1</v>
      </c>
    </row>
    <row r="2811" spans="3:14" x14ac:dyDescent="0.3">
      <c r="C2811" t="s">
        <v>942</v>
      </c>
      <c r="F2811" s="60">
        <f>F2810/E2810-1</f>
        <v>0.22110552763819102</v>
      </c>
      <c r="G2811" s="60">
        <f>G2810/F2810-1</f>
        <v>0.31275720164609044</v>
      </c>
      <c r="H2811" s="60">
        <f>H2810/G2810-1</f>
        <v>0.28213166144200619</v>
      </c>
      <c r="I2811" s="60">
        <f>I2810/H2810-1</f>
        <v>5.378973105134488E-2</v>
      </c>
    </row>
    <row r="2813" spans="3:14" x14ac:dyDescent="0.3">
      <c r="C2813" s="2" t="s">
        <v>1166</v>
      </c>
    </row>
    <row r="2814" spans="3:14" x14ac:dyDescent="0.3">
      <c r="C2814" t="str">
        <f>'HISTORICAL FS'!C32</f>
        <v>Profit attributable to:</v>
      </c>
    </row>
    <row r="2815" spans="3:14" x14ac:dyDescent="0.3">
      <c r="C2815" t="str">
        <f>'HISTORICAL FS'!C33</f>
        <v>Equity holders of the parent company</v>
      </c>
      <c r="E2815">
        <f>'HISTORICAL FS'!E33</f>
        <v>677.5</v>
      </c>
      <c r="F2815">
        <f>'HISTORICAL FS'!F33</f>
        <v>711.7</v>
      </c>
      <c r="G2815">
        <f>'HISTORICAL FS'!G33</f>
        <v>802.3</v>
      </c>
      <c r="H2815">
        <f>'HISTORICAL FS'!H33</f>
        <v>736.1</v>
      </c>
      <c r="I2815">
        <f>'HISTORICAL FS'!I33</f>
        <v>888.5</v>
      </c>
    </row>
    <row r="2816" spans="3:14" x14ac:dyDescent="0.3">
      <c r="C2816" t="str">
        <f>'HISTORICAL FS'!C34</f>
        <v>non controlling interests</v>
      </c>
      <c r="E2816">
        <f>'HISTORICAL FS'!E34</f>
        <v>0</v>
      </c>
      <c r="F2816">
        <f>'HISTORICAL FS'!F34</f>
        <v>-1</v>
      </c>
      <c r="G2816">
        <f>'HISTORICAL FS'!G34</f>
        <v>-1.8</v>
      </c>
      <c r="H2816">
        <f>'HISTORICAL FS'!H34</f>
        <v>7.1</v>
      </c>
      <c r="I2816">
        <f>'HISTORICAL FS'!I34</f>
        <v>9.5</v>
      </c>
      <c r="J2816" s="100">
        <f>I2816*(1+J2829)</f>
        <v>11.234629629629634</v>
      </c>
      <c r="K2816" s="100">
        <f>J2816*(1+K2829)</f>
        <v>13.024306129629634</v>
      </c>
      <c r="L2816" s="100">
        <f>K2816*(1+L2829)</f>
        <v>15.7204982923658</v>
      </c>
      <c r="M2816" s="100">
        <f>L2816*(1+M2829)</f>
        <v>18.092805586114999</v>
      </c>
      <c r="N2816" s="100">
        <f>M2816*(1+N2829)</f>
        <v>20.286279053468608</v>
      </c>
    </row>
    <row r="2817" spans="3:14" x14ac:dyDescent="0.3">
      <c r="E2817" s="47">
        <f>SUM(E2815:E2816)</f>
        <v>677.5</v>
      </c>
      <c r="F2817" s="47">
        <f>SUM(F2815:F2816)</f>
        <v>710.7</v>
      </c>
      <c r="G2817" s="47">
        <f>SUM(G2815:G2816)</f>
        <v>800.5</v>
      </c>
      <c r="H2817" s="47">
        <f>SUM(H2815:H2816)</f>
        <v>743.2</v>
      </c>
      <c r="I2817" s="47">
        <f>SUM(I2815:I2816)</f>
        <v>898</v>
      </c>
    </row>
    <row r="2818" spans="3:14" x14ac:dyDescent="0.3">
      <c r="H2818">
        <f>H2816-G2816</f>
        <v>8.9</v>
      </c>
      <c r="I2818">
        <f>I2816-H2816</f>
        <v>2.4000000000000004</v>
      </c>
    </row>
    <row r="2819" spans="3:14" x14ac:dyDescent="0.3">
      <c r="C2819" t="s">
        <v>1167</v>
      </c>
      <c r="G2819" s="60">
        <f>G2816/F2816-1</f>
        <v>0.8</v>
      </c>
      <c r="H2819" s="60">
        <f>H2816/G2816-1</f>
        <v>-4.9444444444444446</v>
      </c>
      <c r="I2819" s="60">
        <f>I2816/H2816-1</f>
        <v>0.3380281690140845</v>
      </c>
      <c r="J2819" s="60">
        <f>AVERAGE(G2819:I2819)</f>
        <v>-1.2688054251434535</v>
      </c>
      <c r="K2819" s="60">
        <f>AVERAGE(H2819:J2819)</f>
        <v>-1.9584072335246046</v>
      </c>
      <c r="L2819" s="60">
        <f>AVERAGE(I2819:K2819)</f>
        <v>-0.96306149655132456</v>
      </c>
    </row>
    <row r="2821" spans="3:14" x14ac:dyDescent="0.3">
      <c r="C2821" t="s">
        <v>1168</v>
      </c>
    </row>
    <row r="2822" spans="3:14" x14ac:dyDescent="0.3">
      <c r="C2822" t="s">
        <v>1169</v>
      </c>
      <c r="J2822">
        <f>I2826</f>
        <v>118</v>
      </c>
      <c r="K2822" s="100">
        <f>J2826</f>
        <v>119.73462962962964</v>
      </c>
      <c r="L2822" s="100">
        <f>K2826</f>
        <v>123.25893575925926</v>
      </c>
      <c r="M2822" s="100">
        <f>L2826</f>
        <v>129.47943405162505</v>
      </c>
      <c r="N2822" s="100">
        <f>M2826</f>
        <v>138.07223963774004</v>
      </c>
    </row>
    <row r="2823" spans="3:14" x14ac:dyDescent="0.3">
      <c r="C2823" t="s">
        <v>1170</v>
      </c>
      <c r="I2823">
        <f t="shared" ref="I2823:N2823" si="57">I2816</f>
        <v>9.5</v>
      </c>
      <c r="J2823" s="100">
        <f t="shared" si="57"/>
        <v>11.234629629629634</v>
      </c>
      <c r="K2823" s="100">
        <f t="shared" si="57"/>
        <v>13.024306129629634</v>
      </c>
      <c r="L2823" s="100">
        <f t="shared" si="57"/>
        <v>15.7204982923658</v>
      </c>
      <c r="M2823" s="100">
        <f t="shared" si="57"/>
        <v>18.092805586114999</v>
      </c>
      <c r="N2823" s="100">
        <f t="shared" si="57"/>
        <v>20.286279053468608</v>
      </c>
    </row>
    <row r="2824" spans="3:14" x14ac:dyDescent="0.3">
      <c r="C2824" t="s">
        <v>1176</v>
      </c>
      <c r="I2824">
        <v>1.5</v>
      </c>
      <c r="J2824">
        <f>I2824</f>
        <v>1.5</v>
      </c>
      <c r="K2824">
        <f>J2824</f>
        <v>1.5</v>
      </c>
      <c r="L2824">
        <f>K2824</f>
        <v>1.5</v>
      </c>
      <c r="M2824">
        <f>L2824</f>
        <v>1.5</v>
      </c>
      <c r="N2824">
        <f>M2824</f>
        <v>1.5</v>
      </c>
    </row>
    <row r="2825" spans="3:14" x14ac:dyDescent="0.3">
      <c r="C2825" t="s">
        <v>1171</v>
      </c>
      <c r="I2825">
        <v>8</v>
      </c>
      <c r="J2825">
        <v>8</v>
      </c>
      <c r="K2825">
        <f>J2825</f>
        <v>8</v>
      </c>
      <c r="L2825">
        <f>K2825</f>
        <v>8</v>
      </c>
      <c r="M2825">
        <f>L2825</f>
        <v>8</v>
      </c>
      <c r="N2825">
        <f>M2825</f>
        <v>8</v>
      </c>
    </row>
    <row r="2826" spans="3:14" x14ac:dyDescent="0.3">
      <c r="C2826" t="s">
        <v>1172</v>
      </c>
      <c r="I2826">
        <f>I2729</f>
        <v>118</v>
      </c>
      <c r="J2826" s="100">
        <f>J2822+J2823-J2824-J2825</f>
        <v>119.73462962962964</v>
      </c>
      <c r="K2826" s="100">
        <f>K2822+K2823-K2824-K2825</f>
        <v>123.25893575925926</v>
      </c>
      <c r="L2826" s="100">
        <f>L2822+L2823-L2824-L2825</f>
        <v>129.47943405162505</v>
      </c>
      <c r="M2826" s="100">
        <f>M2822+M2823-M2824-M2825</f>
        <v>138.07223963774004</v>
      </c>
      <c r="N2826" s="100">
        <f>N2822+N2823-N2824-N2825</f>
        <v>148.85851869120864</v>
      </c>
    </row>
    <row r="2828" spans="3:14" x14ac:dyDescent="0.3">
      <c r="C2828" t="s">
        <v>1174</v>
      </c>
      <c r="E2828">
        <v>0</v>
      </c>
      <c r="F2828">
        <v>-1</v>
      </c>
      <c r="G2828">
        <v>-1.8</v>
      </c>
      <c r="H2828">
        <v>7.1</v>
      </c>
      <c r="I2828">
        <v>9.5</v>
      </c>
    </row>
    <row r="2829" spans="3:14" x14ac:dyDescent="0.3">
      <c r="C2829" t="s">
        <v>1173</v>
      </c>
      <c r="J2829" s="60">
        <v>0.182592592592593</v>
      </c>
      <c r="K2829" s="60">
        <v>0.1593</v>
      </c>
      <c r="L2829" s="60">
        <v>0.207012345679012</v>
      </c>
      <c r="M2829" s="60">
        <v>0.150905349794239</v>
      </c>
      <c r="N2829" s="60">
        <v>0.12123456790122999</v>
      </c>
    </row>
    <row r="2830" spans="3:14" x14ac:dyDescent="0.3">
      <c r="C2830" t="s">
        <v>1175</v>
      </c>
      <c r="J2830">
        <v>8</v>
      </c>
    </row>
    <row r="2831" spans="3:14" x14ac:dyDescent="0.3">
      <c r="C2831" t="s">
        <v>1176</v>
      </c>
      <c r="J2831">
        <v>1.5</v>
      </c>
    </row>
    <row r="2834" spans="1:14" x14ac:dyDescent="0.3">
      <c r="C2834" s="2" t="s">
        <v>1179</v>
      </c>
    </row>
    <row r="2835" spans="1:14" x14ac:dyDescent="0.3">
      <c r="C2835" t="s">
        <v>156</v>
      </c>
    </row>
    <row r="2836" spans="1:14" x14ac:dyDescent="0.3">
      <c r="A2836" t="s">
        <v>1007</v>
      </c>
      <c r="C2836" t="str">
        <f>C981</f>
        <v>Corporate bonds</v>
      </c>
      <c r="E2836">
        <f>E981</f>
        <v>0</v>
      </c>
      <c r="F2836">
        <f>F981</f>
        <v>0</v>
      </c>
      <c r="G2836">
        <f>G981</f>
        <v>0</v>
      </c>
      <c r="H2836">
        <f>H981</f>
        <v>250</v>
      </c>
      <c r="I2836">
        <f>I981</f>
        <v>112.9</v>
      </c>
    </row>
    <row r="2837" spans="1:14" x14ac:dyDescent="0.3">
      <c r="A2837" t="s">
        <v>1183</v>
      </c>
      <c r="C2837" t="str">
        <f>'HISTORICAL FS'!C145</f>
        <v>Corporate bonds</v>
      </c>
      <c r="E2837">
        <f>'HISTORICAL FS'!E145</f>
        <v>815.7</v>
      </c>
      <c r="F2837">
        <f>'HISTORICAL FS'!F145</f>
        <v>790.7</v>
      </c>
      <c r="G2837">
        <f>'HISTORICAL FS'!G145</f>
        <v>790.8</v>
      </c>
      <c r="H2837">
        <f>'HISTORICAL FS'!H145</f>
        <v>543.79999999999995</v>
      </c>
      <c r="I2837">
        <f>'HISTORICAL FS'!I145</f>
        <v>600</v>
      </c>
    </row>
    <row r="2838" spans="1:14" x14ac:dyDescent="0.3">
      <c r="E2838" s="2">
        <f>SUM(E2836:E2837)</f>
        <v>815.7</v>
      </c>
      <c r="F2838" s="2">
        <f>SUM(F2836:F2837)</f>
        <v>790.7</v>
      </c>
      <c r="G2838" s="2">
        <f>SUM(G2836:G2837)</f>
        <v>790.8</v>
      </c>
      <c r="H2838" s="2">
        <f>SUM(H2836:H2837)</f>
        <v>793.8</v>
      </c>
      <c r="I2838" s="2">
        <f>SUM(I2836:I2837)</f>
        <v>712.9</v>
      </c>
    </row>
    <row r="2840" spans="1:14" x14ac:dyDescent="0.3">
      <c r="C2840" t="str">
        <f>C926</f>
        <v>Repayment of corporate bonds</v>
      </c>
      <c r="E2840">
        <f t="shared" ref="E2840:I2841" si="58">E926</f>
        <v>-325</v>
      </c>
      <c r="F2840">
        <f t="shared" si="58"/>
        <v>0</v>
      </c>
      <c r="G2840">
        <f t="shared" si="58"/>
        <v>0</v>
      </c>
      <c r="H2840">
        <f t="shared" si="58"/>
        <v>0</v>
      </c>
      <c r="I2840">
        <f t="shared" si="58"/>
        <v>-386.4</v>
      </c>
    </row>
    <row r="2841" spans="1:14" x14ac:dyDescent="0.3">
      <c r="C2841" t="str">
        <f>C927</f>
        <v>Issue of corporate bonds</v>
      </c>
      <c r="E2841">
        <f t="shared" si="58"/>
        <v>0</v>
      </c>
      <c r="F2841">
        <f t="shared" si="58"/>
        <v>0</v>
      </c>
      <c r="G2841">
        <f t="shared" si="58"/>
        <v>0</v>
      </c>
      <c r="H2841">
        <f t="shared" si="58"/>
        <v>0</v>
      </c>
      <c r="I2841">
        <f t="shared" si="58"/>
        <v>298.39999999999998</v>
      </c>
    </row>
    <row r="2845" spans="1:14" x14ac:dyDescent="0.3">
      <c r="C2845" s="2" t="s">
        <v>1192</v>
      </c>
    </row>
    <row r="2846" spans="1:14" x14ac:dyDescent="0.3">
      <c r="C2846" t="s">
        <v>1197</v>
      </c>
      <c r="E2846">
        <v>18.600000000000001</v>
      </c>
      <c r="F2846">
        <f t="shared" ref="F2846:N2846" si="59">E2852</f>
        <v>21.900000000000002</v>
      </c>
      <c r="G2846">
        <f t="shared" si="59"/>
        <v>33.799999999999997</v>
      </c>
      <c r="H2846">
        <f t="shared" si="59"/>
        <v>52.399999999999991</v>
      </c>
      <c r="I2846">
        <f t="shared" si="59"/>
        <v>55.699999999999989</v>
      </c>
      <c r="J2846">
        <f t="shared" si="59"/>
        <v>58.499999999999986</v>
      </c>
      <c r="K2846">
        <f t="shared" si="59"/>
        <v>0</v>
      </c>
      <c r="L2846">
        <f t="shared" si="59"/>
        <v>4</v>
      </c>
      <c r="M2846">
        <f t="shared" si="59"/>
        <v>8.0756784571001994</v>
      </c>
      <c r="N2846">
        <f t="shared" si="59"/>
        <v>12.228467178517864</v>
      </c>
    </row>
    <row r="2847" spans="1:14" x14ac:dyDescent="0.3">
      <c r="C2847" t="s">
        <v>1198</v>
      </c>
      <c r="G2847">
        <v>13.1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">
      <c r="C2848" t="s">
        <v>1193</v>
      </c>
      <c r="E2848">
        <v>4.3</v>
      </c>
      <c r="F2848">
        <v>13.3</v>
      </c>
      <c r="G2848">
        <v>9.1999999999999993</v>
      </c>
      <c r="H2848">
        <v>7.9</v>
      </c>
      <c r="I2848">
        <v>5.5</v>
      </c>
      <c r="J2848">
        <f t="shared" ref="J2848:N2849" si="60">I2848</f>
        <v>5.5</v>
      </c>
      <c r="K2848">
        <f t="shared" si="60"/>
        <v>5.5</v>
      </c>
      <c r="L2848">
        <f t="shared" si="60"/>
        <v>5.5</v>
      </c>
      <c r="M2848">
        <f t="shared" si="60"/>
        <v>5.5</v>
      </c>
      <c r="N2848">
        <f t="shared" si="60"/>
        <v>5.5</v>
      </c>
    </row>
    <row r="2849" spans="1:14" x14ac:dyDescent="0.3">
      <c r="C2849" t="s">
        <v>1194</v>
      </c>
      <c r="E2849">
        <v>-1.4</v>
      </c>
      <c r="F2849">
        <v>-2.2000000000000002</v>
      </c>
      <c r="G2849">
        <v>-4.0999999999999996</v>
      </c>
      <c r="H2849">
        <v>-1.2</v>
      </c>
      <c r="I2849">
        <v>-1.5</v>
      </c>
      <c r="J2849">
        <f t="shared" si="60"/>
        <v>-1.5</v>
      </c>
      <c r="K2849">
        <f t="shared" si="60"/>
        <v>-1.5</v>
      </c>
      <c r="L2849">
        <f t="shared" si="60"/>
        <v>-1.5</v>
      </c>
      <c r="M2849">
        <f t="shared" si="60"/>
        <v>-1.5</v>
      </c>
      <c r="N2849">
        <f t="shared" si="60"/>
        <v>-1.5</v>
      </c>
    </row>
    <row r="2850" spans="1:14" x14ac:dyDescent="0.3">
      <c r="C2850" t="s">
        <v>1195</v>
      </c>
      <c r="G2850">
        <v>-0.1</v>
      </c>
      <c r="H2850">
        <v>-3.6</v>
      </c>
      <c r="I2850">
        <v>-2.2000000000000002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C2851" t="s">
        <v>1196</v>
      </c>
      <c r="E2851">
        <v>0.4</v>
      </c>
      <c r="F2851">
        <v>0.8</v>
      </c>
      <c r="G2851">
        <v>0.5</v>
      </c>
      <c r="H2851">
        <v>0.2</v>
      </c>
      <c r="I2851">
        <v>1</v>
      </c>
      <c r="J2851" s="99">
        <f>$J$2857*J2846</f>
        <v>1.1067974350904137</v>
      </c>
      <c r="K2851">
        <f>$J$2857*K2846</f>
        <v>0</v>
      </c>
      <c r="L2851">
        <f>$J$2857*L2846</f>
        <v>7.5678457100199242E-2</v>
      </c>
      <c r="M2851">
        <f>$J$2857*M2846</f>
        <v>0.15278872141766517</v>
      </c>
      <c r="N2851">
        <f>$J$2857*N2846</f>
        <v>0.23135788219266465</v>
      </c>
    </row>
    <row r="2852" spans="1:14" x14ac:dyDescent="0.3">
      <c r="C2852" t="s">
        <v>1057</v>
      </c>
      <c r="E2852" s="47">
        <f>SUM(E2846:E2851)</f>
        <v>21.900000000000002</v>
      </c>
      <c r="F2852" s="47">
        <f>SUM(F2846:F2851)</f>
        <v>33.799999999999997</v>
      </c>
      <c r="G2852" s="47">
        <f>SUM(G2846:G2851)</f>
        <v>52.399999999999991</v>
      </c>
      <c r="H2852" s="47">
        <f>SUM(H2846:H2851)</f>
        <v>55.699999999999989</v>
      </c>
      <c r="I2852" s="47">
        <f>SUM(I2846:I2851)</f>
        <v>58.499999999999986</v>
      </c>
      <c r="J2852" s="47"/>
      <c r="K2852" s="47">
        <f>SUM(K2846:K2851)</f>
        <v>4</v>
      </c>
      <c r="L2852" s="47">
        <f>SUM(L2846:L2851)</f>
        <v>8.0756784571001994</v>
      </c>
      <c r="M2852" s="47">
        <f>SUM(M2846:M2851)</f>
        <v>12.228467178517864</v>
      </c>
      <c r="N2852" s="47">
        <f>SUM(N2846:N2851)</f>
        <v>16.459825060710529</v>
      </c>
    </row>
    <row r="2855" spans="1:14" x14ac:dyDescent="0.3">
      <c r="F2855">
        <f>F2848/E2848-1</f>
        <v>2.0930232558139537</v>
      </c>
      <c r="G2855">
        <f>G2848/F2848-1</f>
        <v>-0.30827067669172936</v>
      </c>
      <c r="H2855">
        <f>H2848/G2848-1</f>
        <v>-0.14130434782608681</v>
      </c>
      <c r="I2855">
        <f>I2848/H2848-1</f>
        <v>-0.30379746835443044</v>
      </c>
      <c r="J2855">
        <f>AVERAGE(G2855:I2855)</f>
        <v>-0.25112416429074885</v>
      </c>
      <c r="K2855">
        <f>AVERAGE(H2855:J2855)</f>
        <v>-0.23207532682375534</v>
      </c>
      <c r="L2855">
        <f>AVERAGE(I2855:K2855)</f>
        <v>-0.26233231982297822</v>
      </c>
      <c r="M2855">
        <f>AVERAGE(J2855:L2855)</f>
        <v>-0.24851060364582747</v>
      </c>
      <c r="N2855">
        <f>AVERAGE(K2855:M2855)</f>
        <v>-0.24763941676418699</v>
      </c>
    </row>
    <row r="2857" spans="1:14" x14ac:dyDescent="0.3">
      <c r="E2857" s="60">
        <f>E2851/E2846</f>
        <v>2.150537634408602E-2</v>
      </c>
      <c r="F2857" s="60">
        <f>F2851/F2846</f>
        <v>3.6529680365296802E-2</v>
      </c>
      <c r="G2857" s="60">
        <f>G2851/G2846</f>
        <v>1.4792899408284025E-2</v>
      </c>
      <c r="H2857" s="60">
        <f>H2851/H2846</f>
        <v>3.8167938931297717E-3</v>
      </c>
      <c r="I2857" s="60">
        <f>I2851/I2846</f>
        <v>1.7953321364452428E-2</v>
      </c>
      <c r="J2857" s="60">
        <f>AVERAGE(E2857:I2857)</f>
        <v>1.8919614275049811E-2</v>
      </c>
    </row>
    <row r="2861" spans="1:14" x14ac:dyDescent="0.3">
      <c r="C2861" s="2" t="s">
        <v>1189</v>
      </c>
    </row>
    <row r="2862" spans="1:14" x14ac:dyDescent="0.3">
      <c r="A2862" t="s">
        <v>1007</v>
      </c>
      <c r="C2862" t="str">
        <f>C983</f>
        <v>Lease liabilities</v>
      </c>
      <c r="E2862">
        <f>E983</f>
        <v>162.6</v>
      </c>
      <c r="F2862">
        <f>F983</f>
        <v>146.19999999999999</v>
      </c>
      <c r="G2862">
        <f>G983</f>
        <v>167.8</v>
      </c>
      <c r="H2862">
        <f>H983</f>
        <v>170.8</v>
      </c>
      <c r="I2862">
        <f>I983</f>
        <v>168.1</v>
      </c>
    </row>
    <row r="2863" spans="1:14" x14ac:dyDescent="0.3">
      <c r="A2863" t="s">
        <v>1008</v>
      </c>
      <c r="C2863" t="str">
        <f>C993</f>
        <v>lease liabilities</v>
      </c>
      <c r="E2863">
        <f>E993</f>
        <v>894.9</v>
      </c>
      <c r="F2863">
        <f>F993</f>
        <v>877.1</v>
      </c>
      <c r="G2863">
        <f>G993</f>
        <v>869.9</v>
      </c>
      <c r="H2863">
        <f>H993</f>
        <v>843.6</v>
      </c>
      <c r="I2863">
        <f>I993</f>
        <v>831.7</v>
      </c>
    </row>
    <row r="2864" spans="1:14" x14ac:dyDescent="0.3">
      <c r="E2864">
        <f>SUM(E2862:E2863)</f>
        <v>1057.5</v>
      </c>
      <c r="F2864">
        <f>SUM(F2862:F2863)</f>
        <v>1023.3</v>
      </c>
      <c r="G2864">
        <f>SUM(G2862:G2863)</f>
        <v>1037.7</v>
      </c>
      <c r="H2864">
        <f>SUM(H2862:H2863)</f>
        <v>1014.4000000000001</v>
      </c>
      <c r="I2864">
        <f>SUM(I2862:I2863)</f>
        <v>999.80000000000007</v>
      </c>
    </row>
    <row r="2867" spans="3:9" x14ac:dyDescent="0.3">
      <c r="C2867" t="str">
        <f>C960</f>
        <v xml:space="preserve">Right-of-Use Assets </v>
      </c>
      <c r="E2867">
        <f>E960</f>
        <v>639.1</v>
      </c>
      <c r="F2867">
        <f>F960</f>
        <v>662</v>
      </c>
      <c r="G2867">
        <f>G960</f>
        <v>734.6</v>
      </c>
      <c r="H2867">
        <f>H960</f>
        <v>737.3</v>
      </c>
      <c r="I2867">
        <f>I960</f>
        <v>733.1</v>
      </c>
    </row>
    <row r="2869" spans="3:9" x14ac:dyDescent="0.3">
      <c r="C2869" t="str">
        <f>C876</f>
        <v>Depreciation and impairment on right-of-use assets</v>
      </c>
      <c r="E2869">
        <f>E876</f>
        <v>112.6</v>
      </c>
      <c r="F2869">
        <f>F876</f>
        <v>72.7</v>
      </c>
      <c r="G2869">
        <f>G876</f>
        <v>111.8</v>
      </c>
      <c r="H2869">
        <f>H876</f>
        <v>137.9</v>
      </c>
      <c r="I2869">
        <f>I876</f>
        <v>156.4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6</vt:i4>
      </vt:variant>
    </vt:vector>
  </HeadingPairs>
  <TitlesOfParts>
    <vt:vector size="24" baseType="lpstr">
      <vt:lpstr>COVER</vt:lpstr>
      <vt:lpstr>SUMMARY</vt:lpstr>
      <vt:lpstr>HISTORICAL FS</vt:lpstr>
      <vt:lpstr>ASSUMPTIONS</vt:lpstr>
      <vt:lpstr>SCENARIOS</vt:lpstr>
      <vt:lpstr>MODEL&amp;SCHEDULE</vt:lpstr>
      <vt:lpstr>SENSITIVITY</vt:lpstr>
      <vt:lpstr>DCF</vt:lpstr>
      <vt:lpstr>LBO ANALYSIS</vt:lpstr>
      <vt:lpstr>REGRESSION</vt:lpstr>
      <vt:lpstr>COMPS</vt:lpstr>
      <vt:lpstr>MONTE CARLO</vt:lpstr>
      <vt:lpstr>CHECKS</vt:lpstr>
      <vt:lpstr>DASHBOARD</vt:lpstr>
      <vt:lpstr>SOTP</vt:lpstr>
      <vt:lpstr>ACCOUNTING</vt:lpstr>
      <vt:lpstr>SOURCE</vt:lpstr>
      <vt:lpstr>rough sheet</vt:lpstr>
      <vt:lpstr>Balcheck</vt:lpstr>
      <vt:lpstr>Base_Year</vt:lpstr>
      <vt:lpstr>circularity</vt:lpstr>
      <vt:lpstr>Forecast_year</vt:lpstr>
      <vt:lpstr>L_Scenarios</vt:lpstr>
      <vt:lpstr>S_Scenario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Oyindamola Aribilola</dc:creator>
  <cp:lastModifiedBy>oyindamola Aribilola</cp:lastModifiedBy>
  <dcterms:created xsi:type="dcterms:W3CDTF">2026-05-25T19:14:11Z</dcterms:created>
  <dcterms:modified xsi:type="dcterms:W3CDTF">2026-07-03T14:39:36Z</dcterms:modified>
</cp:coreProperties>
</file>